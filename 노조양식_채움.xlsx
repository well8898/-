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<sst xmlns="http://schemas.openxmlformats.org/spreadsheetml/2006/main" count="1722" uniqueCount="547">
  <si>
    <t xml:space="preserve">노조순번</t>
  </si>
  <si>
    <t xml:space="preserve">중요도</t>
  </si>
  <si>
    <t xml:space="preserve">구분</t>
  </si>
  <si>
    <t xml:space="preserve">관련공약</t>
  </si>
  <si>
    <t xml:space="preserve">증액</t>
  </si>
  <si>
    <t xml:space="preserve">순번</t>
  </si>
  <si>
    <t xml:space="preserve">담당부서</t>
  </si>
  <si>
    <t xml:space="preserve">세부사업계획명</t>
  </si>
  <si>
    <t xml:space="preserve">관</t>
  </si>
  <si>
    <t xml:space="preserve">세목</t>
  </si>
  <si>
    <r>
      <rPr>
        <b val="true"/>
        <sz val="10"/>
        <rFont val="WenQuanYi Zen Hei"/>
        <family val="2"/>
      </rPr>
      <t xml:space="preserve">세부사업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</si>
  <si>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산출내역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</si>
  <si>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rFont val="WenQuanYi Zen Hei"/>
        <family val="2"/>
      </rPr>
      <t xml:space="preserve">최종예산</t>
    </r>
    <r>
      <rPr>
        <b val="true"/>
        <sz val="10"/>
        <rFont val="맑은 고딕"/>
        <family val="3"/>
        <charset val="129"/>
      </rPr>
      <t xml:space="preserve">(2026</t>
    </r>
    <r>
      <rPr>
        <b val="true"/>
        <sz val="10"/>
        <rFont val="WenQuanYi Zen Hei"/>
        <family val="2"/>
      </rPr>
      <t xml:space="preserve">년</t>
    </r>
    <r>
      <rPr>
        <b val="true"/>
        <sz val="1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</si>
  <si>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세부사업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</si>
  <si>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산출내역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</si>
  <si>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요구예산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</t>
    </r>
  </si>
  <si>
    <r>
      <rPr>
        <b val="true"/>
        <sz val="10"/>
        <color theme="0"/>
        <rFont val="WenQuanYi Zen Hei"/>
        <family val="2"/>
      </rPr>
      <t xml:space="preserve">최종예산</t>
    </r>
    <r>
      <rPr>
        <b val="true"/>
        <sz val="10"/>
        <color theme="0"/>
        <rFont val="맑은 고딕"/>
        <family val="3"/>
        <charset val="129"/>
      </rPr>
      <t xml:space="preserve">(2027</t>
    </r>
    <r>
      <rPr>
        <b val="true"/>
        <sz val="10"/>
        <color theme="0"/>
        <rFont val="WenQuanYi Zen Hei"/>
        <family val="2"/>
      </rPr>
      <t xml:space="preserve">년</t>
    </r>
    <r>
      <rPr>
        <b val="true"/>
        <sz val="10"/>
        <color theme="0"/>
        <rFont val="맑은 고딕"/>
        <family val="3"/>
        <charset val="129"/>
      </rPr>
      <t xml:space="preserve">) - </t>
    </r>
    <r>
      <rPr>
        <b val="true"/>
        <sz val="10"/>
        <color theme="0"/>
        <rFont val="WenQuanYi Zen Hei"/>
        <family val="2"/>
      </rPr>
      <t xml:space="preserve">기획예산실 작성</t>
    </r>
  </si>
  <si>
    <t xml:space="preserve">증가사유</t>
  </si>
  <si>
    <r>
      <rPr>
        <b val="true"/>
        <sz val="10"/>
        <color theme="0"/>
        <rFont val="맑은 고딕"/>
        <family val="3"/>
        <charset val="129"/>
      </rPr>
      <t xml:space="preserve">1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</si>
  <si>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2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</si>
  <si>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</si>
  <si>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4</t>
    </r>
    <r>
      <rPr>
        <b val="true"/>
        <sz val="10"/>
        <color theme="0"/>
        <rFont val="WenQuanYi Zen Hei"/>
        <family val="2"/>
      </rPr>
      <t xml:space="preserve">분기</t>
    </r>
  </si>
  <si>
    <t xml:space="preserve">기회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</si>
  <si>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  <r>
      <rPr>
        <sz val="11"/>
        <color theme="1"/>
        <rFont val="맑은 고딕"/>
        <family val="2"/>
        <charset val="129"/>
      </rPr>
      <t xml:space="preserve">(AI </t>
    </r>
    <r>
      <rPr>
        <sz val="11"/>
        <color theme="1"/>
        <rFont val="WenQuanYi Zen Hei"/>
        <family val="2"/>
      </rPr>
      <t xml:space="preserve">교육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</si>
  <si>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1-3-1. AI</t>
    </r>
    <r>
      <rPr>
        <sz val="11"/>
        <color theme="1"/>
        <rFont val="WenQuanYi Zen Hei"/>
        <family val="2"/>
      </rPr>
      <t xml:space="preserve">전략실</t>
    </r>
  </si>
  <si>
    <r>
      <rPr>
        <sz val="11"/>
        <color theme="1"/>
        <rFont val="맑은 고딕"/>
        <family val="2"/>
        <charset val="129"/>
      </rPr>
      <t xml:space="preserve">12-7-6.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역동적 운영</t>
    </r>
  </si>
  <si>
    <t xml:space="preserve">사업비</t>
  </si>
  <si>
    <t xml:space="preserve">기타수수료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</si>
  <si>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역량강화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</si>
  <si>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= 40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</si>
  <si>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t xml:space="preserve">관리비</t>
  </si>
  <si>
    <r>
      <rPr>
        <sz val="11"/>
        <color theme="1"/>
        <rFont val="맑은 고딕"/>
        <family val="2"/>
        <charset val="129"/>
      </rPr>
      <t xml:space="preserve">= 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×9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</si>
  <si>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내재화 진전에 따른 구독 개소 축소</t>
    </r>
    <r>
      <rPr>
        <sz val="11"/>
        <color theme="1"/>
        <rFont val="맑은 고딕"/>
        <family val="2"/>
        <charset val="129"/>
      </rPr>
      <t xml:space="preserve">(40→36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중장기 재정운용계획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</si>
  <si>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</t>
    </r>
  </si>
  <si>
    <t xml:space="preserve">검사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</si>
  <si>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AI</t>
    </r>
    <r>
      <rPr>
        <sz val="11"/>
        <color theme="1"/>
        <rFont val="WenQuanYi Zen Hei"/>
        <family val="2"/>
      </rPr>
      <t xml:space="preserve">자동일정 시스템 도입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표준화</t>
    </r>
  </si>
  <si>
    <r>
      <rPr>
        <sz val="11"/>
        <color theme="1"/>
        <rFont val="맑은 고딕"/>
        <family val="2"/>
        <charset val="129"/>
      </rPr>
      <t xml:space="preserve">12-7-5.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체계적 기획</t>
    </r>
  </si>
  <si>
    <t xml:space="preserve">자본투자비</t>
  </si>
  <si>
    <t xml:space="preserve">검사장비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</si>
  <si>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과제이행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스마트 글라스 도입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</si>
  <si>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</si>
  <si>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사업 신설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스마트 글라스 도입 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</si>
  <si>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</si>
  <si>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사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지사 </t>
    </r>
    <r>
      <rPr>
        <sz val="11"/>
        <color theme="1"/>
        <rFont val="맑은 고딕"/>
        <family val="2"/>
        <charset val="129"/>
      </rPr>
      <t xml:space="preserve">ESG </t>
    </r>
    <r>
      <rPr>
        <sz val="11"/>
        <color theme="1"/>
        <rFont val="WenQuanYi Zen Hei"/>
        <family val="2"/>
      </rPr>
      <t xml:space="preserve">및 지역본부 비계량 보고서 축소</t>
    </r>
  </si>
  <si>
    <r>
      <rPr>
        <sz val="11"/>
        <color theme="1"/>
        <rFont val="맑은 고딕"/>
        <family val="2"/>
        <charset val="129"/>
      </rPr>
      <t xml:space="preserve">2-1-2. ESG</t>
    </r>
    <r>
      <rPr>
        <sz val="11"/>
        <color theme="1"/>
        <rFont val="WenQuanYi Zen Hei"/>
        <family val="2"/>
      </rPr>
      <t xml:space="preserve">기획실</t>
    </r>
  </si>
  <si>
    <r>
      <rPr>
        <sz val="11"/>
        <color theme="1"/>
        <rFont val="맑은 고딕"/>
        <family val="2"/>
        <charset val="129"/>
      </rPr>
      <t xml:space="preserve">11-1-1. ESG </t>
    </r>
    <r>
      <rPr>
        <sz val="11"/>
        <color theme="1"/>
        <rFont val="WenQuanYi Zen Hei"/>
        <family val="2"/>
      </rPr>
      <t xml:space="preserve">경영전략 및 친환경 전략 수립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이행</t>
    </r>
  </si>
  <si>
    <t xml:space="preserve">포상비</t>
  </si>
  <si>
    <r>
      <rPr>
        <sz val="11"/>
        <color theme="1"/>
        <rFont val="맑은 고딕"/>
        <family val="2"/>
        <charset val="129"/>
      </rPr>
      <t xml:space="preserve">(E</t>
    </r>
    <r>
      <rPr>
        <sz val="11"/>
        <color theme="1"/>
        <rFont val="WenQuanYi Zen Hei"/>
        <family val="2"/>
      </rPr>
      <t xml:space="preserve">분야 우수사례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정책 아이디어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</si>
  <si>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</si>
  <si>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공모분야별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200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x </t>
    </r>
    <r>
      <rPr>
        <sz val="11"/>
        <color theme="1"/>
        <rFont val="WenQuanYi Zen Hei"/>
        <family val="2"/>
      </rPr>
      <t xml:space="preserve">공모분야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
   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대국민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아이디어 공모전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장려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천원</t>
    </r>
  </si>
  <si>
    <t xml:space="preserve">유지</t>
  </si>
  <si>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</si>
  <si>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</si>
  <si>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앱 수수료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x1,200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</si>
  <si>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사업유지</t>
    </r>
    <r>
      <rPr>
        <sz val="11"/>
        <color theme="1"/>
        <rFont val="맑은 고딕"/>
        <family val="2"/>
        <charset val="129"/>
      </rPr>
      <t xml:space="preserve">_26</t>
    </r>
    <r>
      <rPr>
        <sz val="11"/>
        <color theme="1"/>
        <rFont val="WenQuanYi Zen Hei"/>
        <family val="2"/>
      </rPr>
      <t xml:space="preserve">년 기중 예산 추가</t>
    </r>
  </si>
  <si>
    <t xml:space="preserve">홍보비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</si>
  <si>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및 지역주민 참여 캠페인 홍보물품 구매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</si>
  <si>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캠페인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천</t>
    </r>
  </si>
  <si>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친환경 탄소중립 사업 추진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홍보물품 구매</t>
    </r>
    <r>
      <rPr>
        <sz val="11"/>
        <color theme="1"/>
        <rFont val="맑은 고딕"/>
        <family val="2"/>
        <charset val="129"/>
      </rPr>
      <t xml:space="preserve">)</t>
    </r>
  </si>
  <si>
    <t xml:space="preserve">월급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</si>
  <si>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검사출장비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</si>
  <si>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검사총괄실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</si>
  <si>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승강기 검사사업 운영 효율화 및 체계 개선</t>
    </r>
  </si>
  <si>
    <t xml:space="preserve">검사출장비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</si>
  <si>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검사 효율화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검사출장비</t>
    </r>
  </si>
  <si>
    <r>
      <rPr>
        <sz val="11"/>
        <color theme="1"/>
        <rFont val="맑은 고딕"/>
        <family val="2"/>
        <charset val="129"/>
      </rPr>
      <t xml:space="preserve">= 557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(1,113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)×207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</si>
  <si>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(1,094+33+25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</si>
  <si>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* 2027</t>
    </r>
    <r>
      <rPr>
        <sz val="11"/>
        <color theme="1"/>
        <rFont val="WenQuanYi Zen Hei"/>
        <family val="2"/>
      </rPr>
      <t xml:space="preserve">년 검사인력 </t>
    </r>
    <r>
      <rPr>
        <sz val="11"/>
        <color theme="1"/>
        <rFont val="맑은 고딕"/>
        <family val="2"/>
        <charset val="129"/>
      </rPr>
      <t xml:space="preserve">1,094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+ 26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월말 신규채용 </t>
    </r>
    <r>
      <rPr>
        <sz val="11"/>
        <color theme="1"/>
        <rFont val="맑은 고딕"/>
        <family val="2"/>
        <charset val="129"/>
      </rPr>
      <t xml:space="preserve">33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+ 27</t>
    </r>
    <r>
      <rPr>
        <sz val="11"/>
        <color theme="1"/>
        <rFont val="WenQuanYi Zen Hei"/>
        <family val="2"/>
      </rPr>
      <t xml:space="preserve">년 하반기 신규채용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명 반영</t>
    </r>
  </si>
  <si>
    <r>
      <rPr>
        <sz val="11"/>
        <color theme="1"/>
        <rFont val="맑은 고딕"/>
        <family val="2"/>
        <charset val="129"/>
      </rPr>
      <t xml:space="preserve">11-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검사 중 기기손상 보험 신청 절차 간소화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</si>
  <si>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배상책임보험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</si>
  <si>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</si>
  <si>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= 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</si>
  <si>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자기부담금</t>
    </r>
    <r>
      <rPr>
        <sz val="11"/>
        <color theme="1"/>
        <rFont val="맑은 고딕"/>
        <family val="2"/>
        <charset val="129"/>
      </rPr>
      <t xml:space="preserve">(1,000</t>
    </r>
    <r>
      <rPr>
        <sz val="11"/>
        <color theme="1"/>
        <rFont val="WenQuanYi Zen Hei"/>
        <family val="2"/>
      </rPr>
      <t xml:space="preserve">천원 이하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의 보험처리비용 </t>
    </r>
  </si>
  <si>
    <r>
      <rPr>
        <sz val="11"/>
        <color theme="1"/>
        <rFont val="맑은 고딕"/>
        <family val="2"/>
        <charset val="129"/>
      </rPr>
      <t xml:space="preserve">12. </t>
    </r>
    <r>
      <rPr>
        <sz val="11"/>
        <color theme="1"/>
        <rFont val="WenQuanYi Zen Hei"/>
        <family val="2"/>
      </rPr>
      <t xml:space="preserve">검사 집중 환경 구축 및 개선</t>
    </r>
  </si>
  <si>
    <t xml:space="preserve">일반여비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</si>
  <si>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지역본부장 회의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</si>
  <si>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×265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</si>
  <si>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</si>
  <si>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1-3-1. </t>
    </r>
    <r>
      <rPr>
        <sz val="11"/>
        <color theme="1"/>
        <rFont val="WenQuanYi Zen Hei"/>
        <family val="2"/>
      </rPr>
      <t xml:space="preserve">국민 중심의 승강기 정보제공 개선 및 공유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</si>
  <si>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통계자료</t>
    </r>
    <r>
      <rPr>
        <sz val="11"/>
        <color theme="1"/>
        <rFont val="맑은 고딕"/>
        <family val="2"/>
        <charset val="129"/>
      </rPr>
      <t xml:space="preserve">) 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</si>
  <si>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 = 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</si>
  <si>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  AI</t>
    </r>
    <r>
      <rPr>
        <sz val="11"/>
        <color theme="1"/>
        <rFont val="WenQuanYi Zen Hei"/>
        <family val="2"/>
      </rPr>
      <t xml:space="preserve">전략실 예산 활용</t>
    </r>
  </si>
  <si>
    <t xml:space="preserve">신설</t>
  </si>
  <si>
    <t xml:space="preserve">검사용품비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</si>
  <si>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소모품 구매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</si>
  <si>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r>
      <rPr>
        <sz val="11"/>
        <color theme="1"/>
        <rFont val="맑은 고딕"/>
        <family val="2"/>
        <charset val="129"/>
      </rPr>
      <t xml:space="preserve">= 650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</si>
  <si>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회의비</t>
  </si>
  <si>
    <t xml:space="preserve">                                                  </t>
  </si>
  <si>
    <r>
      <rPr>
        <sz val="11"/>
        <color theme="1"/>
        <rFont val="맑은 고딕"/>
        <family val="2"/>
        <charset val="129"/>
      </rPr>
      <t xml:space="preserve">= 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</si>
  <si>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특별승진과 연계한 경진대회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 경진대회 통폐합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</si>
  <si>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검사자 전문역량 및 디지털 시스템 고도화를 통한 품질 신뢰성 제고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</si>
  <si>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경진대회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역량 경진대회 우수 성적자 포상</t>
    </r>
  </si>
  <si>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(1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(3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(5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</si>
  <si>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검사자 역량평가 우수자 포상</t>
  </si>
  <si>
    <r>
      <rPr>
        <sz val="11"/>
        <color theme="1"/>
        <rFont val="맑은 고딕"/>
        <family val="2"/>
        <charset val="129"/>
      </rPr>
      <t xml:space="preserve">11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</si>
  <si>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지역별 검사 운영 회의</t>
    </r>
  </si>
  <si>
    <r>
      <rPr>
        <sz val="11"/>
        <color theme="1"/>
        <rFont val="맑은 고딕"/>
        <family val="2"/>
        <charset val="129"/>
      </rPr>
      <t xml:space="preserve">= 11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</si>
  <si>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</si>
  <si>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현장 실무 중심의 검사방법 표준화 및 기준 체계화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</si>
  <si>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연구개발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</si>
  <si>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50)×2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</si>
  <si>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</si>
  <si>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</si>
  <si>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조합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</si>
  <si>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회의비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동호회비 등 예산 증액</t>
    </r>
  </si>
  <si>
    <r>
      <rPr>
        <sz val="11"/>
        <color theme="1"/>
        <rFont val="맑은 고딕"/>
        <family val="2"/>
        <charset val="129"/>
      </rPr>
      <t xml:space="preserve">4-2-2. </t>
    </r>
    <r>
      <rPr>
        <sz val="11"/>
        <color theme="1"/>
        <rFont val="WenQuanYi Zen Hei"/>
        <family val="2"/>
      </rPr>
      <t xml:space="preserve">고객지원실</t>
    </r>
  </si>
  <si>
    <r>
      <rPr>
        <sz val="11"/>
        <color theme="1"/>
        <rFont val="맑은 고딕"/>
        <family val="2"/>
        <charset val="129"/>
      </rPr>
      <t xml:space="preserve">9-1-3. </t>
    </r>
    <r>
      <rPr>
        <sz val="11"/>
        <color theme="1"/>
        <rFont val="WenQuanYi Zen Hei"/>
        <family val="2"/>
      </rPr>
      <t xml:space="preserve">국민에게 신뢰받는 고객만족경영 실현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</si>
  <si>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고객만족경영</t>
    </r>
    <r>
      <rPr>
        <sz val="11"/>
        <color theme="1"/>
        <rFont val="맑은 고딕"/>
        <family val="2"/>
        <charset val="129"/>
      </rPr>
      <t xml:space="preserve">) 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</si>
  <si>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</si>
  <si>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</si>
  <si>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</si>
  <si>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4-1-1. </t>
    </r>
    <r>
      <rPr>
        <sz val="11"/>
        <color theme="1"/>
        <rFont val="WenQuanYi Zen Hei"/>
        <family val="2"/>
      </rPr>
      <t xml:space="preserve">교육기획실</t>
    </r>
  </si>
  <si>
    <r>
      <rPr>
        <sz val="11"/>
        <color theme="1"/>
        <rFont val="맑은 고딕"/>
        <family val="2"/>
        <charset val="129"/>
      </rPr>
      <t xml:space="preserve">8-1-1. </t>
    </r>
    <r>
      <rPr>
        <sz val="11"/>
        <color theme="1"/>
        <rFont val="WenQuanYi Zen Hei"/>
        <family val="2"/>
      </rPr>
      <t xml:space="preserve">수요자 맞춤형 승강기 법정교육 운영으로 교육만족도 제고</t>
    </r>
  </si>
  <si>
    <t xml:space="preserve">시스템구축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</si>
  <si>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승강기교육센터 온라인 콘텐츠 고도화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</si>
  <si>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x100,000</t>
    </r>
    <r>
      <rPr>
        <sz val="11"/>
        <color theme="1"/>
        <rFont val="WenQuanYi Zen Hei"/>
        <family val="2"/>
      </rPr>
      <t xml:space="preserve">천원</t>
    </r>
  </si>
  <si>
    <t xml:space="preserve">승강기교육센터 온라인 콘텐츠 고도화</t>
  </si>
  <si>
    <t xml:space="preserve">전산장비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</si>
  <si>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</si>
  <si>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x3,125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</si>
  <si>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승강기인재개발원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</si>
  <si>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기술사업실</t>
    </r>
  </si>
  <si>
    <r>
      <rPr>
        <sz val="11"/>
        <color theme="1"/>
        <rFont val="맑은 고딕"/>
        <family val="2"/>
        <charset val="129"/>
      </rPr>
      <t xml:space="preserve">3-3-1. </t>
    </r>
    <r>
      <rPr>
        <sz val="11"/>
        <color theme="1"/>
        <rFont val="WenQuanYi Zen Hei"/>
        <family val="2"/>
      </rPr>
      <t xml:space="preserve">기술사업 다양화로 승강기 안전진단 서비스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</si>
  <si>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필요 검사용품 구입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</si>
  <si>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</si>
  <si>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×409.8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</si>
  <si>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WenQuanYi Zen Hei"/>
        <family val="2"/>
      </rPr>
      <t xml:space="preserve">수입계획변경</t>
    </r>
    <r>
      <rPr>
        <sz val="11"/>
        <color theme="1"/>
        <rFont val="맑은 고딕"/>
        <family val="2"/>
        <charset val="129"/>
      </rPr>
      <t xml:space="preserve">(29</t>
    </r>
    <r>
      <rPr>
        <sz val="11"/>
        <color theme="1"/>
        <rFont val="WenQuanYi Zen Hei"/>
        <family val="2"/>
      </rPr>
      <t xml:space="preserve">억</t>
    </r>
    <r>
      <rPr>
        <sz val="11"/>
        <color theme="1"/>
        <rFont val="맑은 고딕"/>
        <family val="2"/>
        <charset val="129"/>
      </rPr>
      <t xml:space="preserve">-&gt;35</t>
    </r>
    <r>
      <rPr>
        <sz val="11"/>
        <color theme="1"/>
        <rFont val="WenQuanYi Zen Hei"/>
        <family val="2"/>
      </rPr>
      <t xml:space="preserve">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및 인원증가</t>
    </r>
    <r>
      <rPr>
        <sz val="11"/>
        <color theme="1"/>
        <rFont val="맑은 고딕"/>
        <family val="2"/>
        <charset val="129"/>
      </rPr>
      <t xml:space="preserve">(19-&gt;24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</si>
  <si>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위한 회의 실시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</si>
  <si>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</si>
  <si>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</si>
  <si>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홍보물품 구입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</si>
  <si>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</si>
  <si>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기술사업지원실</t>
    </r>
  </si>
  <si>
    <r>
      <rPr>
        <sz val="11"/>
        <color theme="1"/>
        <rFont val="맑은 고딕"/>
        <family val="2"/>
        <charset val="129"/>
      </rPr>
      <t xml:space="preserve">11-3-1. </t>
    </r>
    <r>
      <rPr>
        <sz val="11"/>
        <color theme="1"/>
        <rFont val="WenQuanYi Zen Hei"/>
        <family val="2"/>
      </rPr>
      <t xml:space="preserve">승강설비 중소기업 산재예방활동 지원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</si>
  <si>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컨설팅 확대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안전관리체계 구축 및 위험성평가 컨설팅 등 사업관련 홍보물 제작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</si>
  <si>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</si>
  <si>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=200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</si>
  <si>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위험성평가 컨설팅 확대를 위한 리플릿 등 추가 제작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</si>
  <si>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</si>
  <si>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1-2-2. </t>
    </r>
    <r>
      <rPr>
        <sz val="11"/>
        <color theme="1"/>
        <rFont val="WenQuanYi Zen Hei"/>
        <family val="2"/>
      </rPr>
      <t xml:space="preserve">위험기계 인증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검사 업무의 디지털화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</si>
  <si>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사업목표 달성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</si>
  <si>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=2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</si>
  <si>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재경부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주무부처 직접 방문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</si>
  <si>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기획예산실</t>
    </r>
  </si>
  <si>
    <r>
      <rPr>
        <sz val="11"/>
        <color theme="1"/>
        <rFont val="맑은 고딕"/>
        <family val="2"/>
        <charset val="129"/>
      </rPr>
      <t xml:space="preserve">10-1-2. </t>
    </r>
    <r>
      <rPr>
        <sz val="11"/>
        <color theme="1"/>
        <rFont val="WenQuanYi Zen Hei"/>
        <family val="2"/>
      </rPr>
      <t xml:space="preserve">정부ᆞ국회 등 대외 지적사항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</si>
  <si>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의원실별 입법동향 파악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</si>
  <si>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</si>
  <si>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</si>
  <si>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주요 이슈사항 업무 보고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</si>
  <si>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</si>
  <si>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대외기관 공단 홍보물품 제작ᆞ배포</t>
    </r>
  </si>
  <si>
    <r>
      <rPr>
        <sz val="11"/>
        <color theme="1"/>
        <rFont val="맑은 고딕"/>
        <family val="2"/>
        <charset val="129"/>
      </rPr>
      <t xml:space="preserve">= 200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</si>
  <si>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</si>
  <si>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사전 대응회의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</si>
  <si>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</si>
  <si>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</si>
  <si>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관련 의원실 방문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</si>
  <si>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</si>
  <si>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</si>
  <si>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현장 목소리 적극적 청취</t>
    </r>
  </si>
  <si>
    <r>
      <rPr>
        <sz val="11"/>
        <color theme="1"/>
        <rFont val="맑은 고딕"/>
        <family val="2"/>
        <charset val="129"/>
      </rPr>
      <t xml:space="preserve">10-1-7. </t>
    </r>
    <r>
      <rPr>
        <sz val="11"/>
        <color theme="1"/>
        <rFont val="WenQuanYi Zen Hei"/>
        <family val="2"/>
      </rPr>
      <t xml:space="preserve">직접 찾아가는 현장 소통 경영활동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노동이사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</si>
  <si>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운영을 위한 지역사무소 현장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</si>
  <si>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</si>
  <si>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</si>
  <si>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현장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</si>
  <si>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</si>
  <si>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×19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</si>
  <si>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</si>
  <si>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</si>
  <si>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</si>
  <si>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13. </t>
    </r>
    <r>
      <rPr>
        <sz val="11"/>
        <color theme="1"/>
        <rFont val="WenQuanYi Zen Hei"/>
        <family val="2"/>
      </rPr>
      <t xml:space="preserve">조합원 권익 최우선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할 말 하는 노동조합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</si>
  <si>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노동이사 협의체 운영 등 대외 이해관계자 소통활동 추진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</si>
  <si>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대외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</si>
  <si>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</si>
  <si>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국가공공기관 노동이사협의회 회비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</si>
  <si>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×360</t>
    </r>
    <r>
      <rPr>
        <sz val="11"/>
        <color theme="1"/>
        <rFont val="WenQuanYi Zen Hei"/>
        <family val="2"/>
      </rPr>
      <t xml:space="preserve">천원</t>
    </r>
  </si>
  <si>
    <t xml:space="preserve">회비 및 부담금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</si>
  <si>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</si>
  <si>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10-2-1. </t>
    </r>
    <r>
      <rPr>
        <sz val="11"/>
        <color theme="1"/>
        <rFont val="WenQuanYi Zen Hei"/>
        <family val="2"/>
      </rPr>
      <t xml:space="preserve">중장기 조직 및 인적자원 운영계획 수립과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</si>
  <si>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정부 동향 파악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주무부처 방문 및 협의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</si>
  <si>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</si>
  <si>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</si>
  <si>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승진</t>
  </si>
  <si>
    <r>
      <rPr>
        <sz val="11"/>
        <color theme="1"/>
        <rFont val="맑은 고딕"/>
        <family val="2"/>
        <charset val="129"/>
      </rPr>
      <t xml:space="preserve">2-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전보 불안 해소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직제개편 미희망 전보 저지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</si>
  <si>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10-2-2. </t>
    </r>
    <r>
      <rPr>
        <sz val="11"/>
        <color theme="1"/>
        <rFont val="WenQuanYi Zen Hei"/>
        <family val="2"/>
      </rPr>
      <t xml:space="preserve">단위조직의 역할과 책임설정 및 적절한 인력배분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</si>
  <si>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업무 조정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인력 조정 및 지역사무소 협의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</si>
  <si>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</si>
  <si>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</si>
  <si>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개편 추진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조직개편 관련 지역사무소 협의 등 여비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</si>
  <si>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×175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50+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30+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25+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70)</t>
    </r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</si>
  <si>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</si>
  <si>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</si>
  <si>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</si>
  <si>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</si>
  <si>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심사 외부위원 수당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</si>
  <si>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</si>
  <si>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</si>
  <si>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t xml:space="preserve">부서운영비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</si>
  <si>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부서운영비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</si>
  <si>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× 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</si>
  <si>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</si>
  <si>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통신비 현실화</t>
    </r>
    <r>
      <rPr>
        <sz val="11"/>
        <color theme="1"/>
        <rFont val="맑은 고딕"/>
        <family val="2"/>
        <charset val="129"/>
      </rPr>
      <t xml:space="preserve">(3.5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</si>
  <si>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업무통신보조비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</si>
  <si>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사업부서 업무통신보조비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</si>
  <si>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업무통신보조비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63,084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</si>
  <si>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업무통신보조비 배정 및 집행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</si>
  <si>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×98,084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</si>
  <si>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</si>
  <si>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소모품비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</si>
  <si>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× 300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× 12</t>
    </r>
    <r>
      <rPr>
        <sz val="11"/>
        <color theme="1"/>
        <rFont val="WenQuanYi Zen Hei"/>
        <family val="2"/>
      </rPr>
      <t xml:space="preserve">개월</t>
    </r>
  </si>
  <si>
    <r>
      <rPr>
        <sz val="11"/>
        <color theme="1"/>
        <rFont val="맑은 고딕"/>
        <family val="2"/>
        <charset val="129"/>
      </rPr>
      <t xml:space="preserve">=300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</si>
  <si>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12-4-4. </t>
    </r>
    <r>
      <rPr>
        <sz val="11"/>
        <color theme="1"/>
        <rFont val="WenQuanYi Zen Hei"/>
        <family val="2"/>
      </rPr>
      <t xml:space="preserve">경영진 주도 현장밀착 소통 채널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</si>
  <si>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 경영활동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방문 외빈 답례품 등 제작</t>
    </r>
  </si>
  <si>
    <r>
      <rPr>
        <sz val="11"/>
        <color theme="1"/>
        <rFont val="맑은 고딕"/>
        <family val="2"/>
        <charset val="129"/>
      </rPr>
      <t xml:space="preserve">= 280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</si>
  <si>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3-2-4. </t>
    </r>
    <r>
      <rPr>
        <sz val="11"/>
        <color theme="1"/>
        <rFont val="WenQuanYi Zen Hei"/>
        <family val="2"/>
      </rPr>
      <t xml:space="preserve">법정검사 안정적 수행 및 지역사무소 운영관리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</si>
  <si>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지역사무소 인원증가 및 인상분 대응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</si>
  <si>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</si>
  <si>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2-2-2. </t>
    </r>
    <r>
      <rPr>
        <sz val="11"/>
        <color theme="1"/>
        <rFont val="WenQuanYi Zen Hei"/>
        <family val="2"/>
      </rPr>
      <t xml:space="preserve">노무총무실</t>
    </r>
  </si>
  <si>
    <r>
      <rPr>
        <sz val="11"/>
        <color theme="1"/>
        <rFont val="맑은 고딕"/>
        <family val="2"/>
        <charset val="129"/>
      </rPr>
      <t xml:space="preserve">11-2-1. </t>
    </r>
    <r>
      <rPr>
        <sz val="11"/>
        <color theme="1"/>
        <rFont val="WenQuanYi Zen Hei"/>
        <family val="2"/>
      </rPr>
      <t xml:space="preserve">온실가스 감축을 위한 탄소중립 사업장 실현</t>
    </r>
  </si>
  <si>
    <t xml:space="preserve">검사통신료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</si>
  <si>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통신료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</si>
  <si>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</si>
  <si>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</si>
  <si>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특수상황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)AI </t>
    </r>
    <r>
      <rPr>
        <sz val="11"/>
        <color theme="1"/>
        <rFont val="WenQuanYi Zen Hei"/>
        <family val="2"/>
      </rPr>
      <t xml:space="preserve">전환시대 메모리 가격 인상에 따른 단말기 신규 임차료 증가</t>
    </r>
  </si>
  <si>
    <r>
      <rPr>
        <sz val="11"/>
        <color theme="1"/>
        <rFont val="맑은 고딕"/>
        <family val="2"/>
        <charset val="129"/>
      </rPr>
      <t xml:space="preserve">11-4-1. </t>
    </r>
    <r>
      <rPr>
        <sz val="11"/>
        <color theme="1"/>
        <rFont val="WenQuanYi Zen Hei"/>
        <family val="2"/>
      </rPr>
      <t xml:space="preserve">정부 지침을 준수한 복리후생제도 운영</t>
    </r>
  </si>
  <si>
    <t xml:space="preserve">피복비</t>
  </si>
  <si>
    <t xml:space="preserve">검사복 지급</t>
  </si>
  <si>
    <r>
      <rPr>
        <sz val="11"/>
        <color theme="1"/>
        <rFont val="맑은 고딕"/>
        <family val="2"/>
        <charset val="129"/>
      </rPr>
      <t xml:space="preserve">'25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~'26</t>
    </r>
    <r>
      <rPr>
        <sz val="11"/>
        <color theme="1"/>
        <rFont val="WenQuanYi Zen Hei"/>
        <family val="2"/>
      </rPr>
      <t xml:space="preserve">년 다년계약에 의한 잔금 지급</t>
    </r>
  </si>
  <si>
    <r>
      <rPr>
        <sz val="11"/>
        <color theme="1"/>
        <rFont val="맑은 고딕"/>
        <family val="2"/>
        <charset val="129"/>
      </rPr>
      <t xml:space="preserve">=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</si>
  <si>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14-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위원장 전용차량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렌트비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폐지</t>
    </r>
  </si>
  <si>
    <t xml:space="preserve">임차료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</si>
  <si>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수송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업무용 차량 임차료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</si>
  <si>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업무용 차량</t>
    </r>
    <r>
      <rPr>
        <sz val="11"/>
        <color theme="1"/>
        <rFont val="맑은 고딕"/>
        <family val="2"/>
        <charset val="129"/>
      </rPr>
      <t xml:space="preserve">) 24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)×630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</si>
  <si>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25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17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</si>
  <si>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임차차량 증가 및 유류비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충전비 증가 분 반영</t>
    </r>
  </si>
  <si>
    <t xml:space="preserve">수선유지비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</si>
  <si>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수선유지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</si>
  <si>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</si>
  <si>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</si>
  <si>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)2027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 기존 단말기 반납에 따른 수리 요청 증가</t>
    </r>
  </si>
  <si>
    <r>
      <rPr>
        <sz val="11"/>
        <color theme="1"/>
        <rFont val="맑은 고딕"/>
        <family val="2"/>
        <charset val="129"/>
      </rPr>
      <t xml:space="preserve">3. </t>
    </r>
    <r>
      <rPr>
        <sz val="11"/>
        <color theme="1"/>
        <rFont val="WenQuanYi Zen Hei"/>
        <family val="2"/>
      </rPr>
      <t xml:space="preserve">검사출장비 등 실질적 임금인상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실비변상적 예산</t>
    </r>
    <r>
      <rPr>
        <sz val="11"/>
        <color theme="1"/>
        <rFont val="맑은 고딕"/>
        <family val="2"/>
        <charset val="129"/>
      </rPr>
      <t xml:space="preserve">)</t>
    </r>
  </si>
  <si>
    <t xml:space="preserve">선물대</t>
  </si>
  <si>
    <r>
      <rPr>
        <sz val="11"/>
        <color theme="1"/>
        <rFont val="WenQuanYi Zen Hei"/>
        <family val="2"/>
      </rPr>
      <t xml:space="preserve">연간 기념일 임직원 선물 지급</t>
    </r>
    <r>
      <rPr>
        <sz val="11"/>
        <color theme="1"/>
        <rFont val="맑은 고딕"/>
        <family val="2"/>
        <charset val="129"/>
      </rPr>
      <t xml:space="preserve">(6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/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</si>
  <si>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1,790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</si>
  <si>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</si>
  <si>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27</t>
    </r>
    <r>
      <rPr>
        <sz val="11"/>
        <color theme="1"/>
        <rFont val="WenQuanYi Zen Hei"/>
        <family val="2"/>
      </rPr>
      <t xml:space="preserve">년 현원 증가</t>
    </r>
  </si>
  <si>
    <t xml:space="preserve">삶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</si>
  <si>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휴양소 확대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통근버스 대안 마련</t>
    </r>
  </si>
  <si>
    <t xml:space="preserve">휴양소운영비</t>
  </si>
  <si>
    <t xml:space="preserve">휴양소 위탁 운영비</t>
  </si>
  <si>
    <r>
      <rPr>
        <sz val="11"/>
        <color theme="1"/>
        <rFont val="맑은 고딕"/>
        <family val="2"/>
        <charset val="129"/>
      </rPr>
      <t xml:space="preserve">= 700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×293</t>
    </r>
    <r>
      <rPr>
        <sz val="11"/>
        <color theme="1"/>
        <rFont val="WenQuanYi Zen Hei"/>
        <family val="2"/>
      </rPr>
      <t xml:space="preserve">천원</t>
    </r>
  </si>
  <si>
    <t xml:space="preserve">건강검진비</t>
  </si>
  <si>
    <r>
      <rPr>
        <sz val="11"/>
        <color theme="1"/>
        <rFont val="WenQuanYi Zen Hei"/>
        <family val="2"/>
      </rPr>
      <t xml:space="preserve">종합건강검진비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특수건강검진비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야간경비근로자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</si>
  <si>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900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×94%(3</t>
    </r>
    <r>
      <rPr>
        <sz val="11"/>
        <color theme="1"/>
        <rFont val="WenQuanYi Zen Hei"/>
        <family val="2"/>
      </rPr>
      <t xml:space="preserve">년치 수검률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</si>
  <si>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출산축하금 인상</t>
    </r>
  </si>
  <si>
    <t xml:space="preserve">임직원 출산 축하 선물 지급</t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</si>
  <si>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연간 출산인원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</si>
  <si>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회의체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노사협의회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참여인원 </t>
    </r>
    <r>
      <rPr>
        <sz val="11"/>
        <color theme="1"/>
        <rFont val="맑은 고딕"/>
        <family val="2"/>
        <charset val="129"/>
      </rPr>
      <t xml:space="preserve">1.5</t>
    </r>
    <r>
      <rPr>
        <sz val="11"/>
        <color theme="1"/>
        <rFont val="WenQuanYi Zen Hei"/>
        <family val="2"/>
      </rPr>
      <t xml:space="preserve">배 확대</t>
    </r>
  </si>
  <si>
    <t xml:space="preserve">식당운영협의회 운영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</si>
  <si>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</si>
  <si>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주말 통근버스 운행</t>
  </si>
  <si>
    <r>
      <rPr>
        <sz val="11"/>
        <color theme="1"/>
        <rFont val="맑은 고딕"/>
        <family val="2"/>
        <charset val="129"/>
      </rPr>
      <t xml:space="preserve">= 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×1,800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우등왕복</t>
    </r>
    <r>
      <rPr>
        <sz val="11"/>
        <color theme="1"/>
        <rFont val="맑은 고딕"/>
        <family val="2"/>
        <charset val="129"/>
      </rPr>
      <t xml:space="preserve">)+52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미니왕복</t>
    </r>
    <r>
      <rPr>
        <sz val="11"/>
        <color theme="1"/>
        <rFont val="맑은 고딕"/>
        <family val="2"/>
        <charset val="129"/>
      </rPr>
      <t xml:space="preserve">)</t>
    </r>
  </si>
  <si>
    <t xml:space="preserve">장례물품 제작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</si>
  <si>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박스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</si>
  <si>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t xml:space="preserve">출산축하금</t>
  </si>
  <si>
    <t xml:space="preserve">출산축하금 지급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</si>
  <si>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</si>
  <si>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구내식당 운영 관련 물품 구입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 농산물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</si>
  <si>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185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구내식당 평균이용 인원</t>
    </r>
    <r>
      <rPr>
        <sz val="11"/>
        <color theme="1"/>
        <rFont val="맑은 고딕"/>
        <family val="2"/>
        <charset val="129"/>
      </rPr>
      <t xml:space="preserve">)×12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</si>
  <si>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11-5-1. </t>
    </r>
    <r>
      <rPr>
        <sz val="11"/>
        <color theme="1"/>
        <rFont val="WenQuanYi Zen Hei"/>
        <family val="2"/>
      </rPr>
      <t xml:space="preserve">상식이 통하고 원칙을 준수하는 공정한 노사관계 구축</t>
    </r>
  </si>
  <si>
    <t xml:space="preserve">중앙 노사협의회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</si>
  <si>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</si>
  <si>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불합리한 성과지표 폐지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지역별 노사협의회 자체해소</t>
    </r>
    <r>
      <rPr>
        <sz val="11"/>
        <color theme="1"/>
        <rFont val="맑은 고딕"/>
        <family val="2"/>
        <charset val="129"/>
      </rPr>
      <t xml:space="preserve">)</t>
    </r>
  </si>
  <si>
    <t xml:space="preserve">지역별 노사협의회 지원</t>
  </si>
  <si>
    <r>
      <rPr>
        <sz val="11"/>
        <color theme="1"/>
        <rFont val="맑은 고딕"/>
        <family val="2"/>
        <charset val="129"/>
      </rPr>
      <t xml:space="preserve">= 105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</si>
  <si>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노사공동워크숍 운영</t>
  </si>
  <si>
    <r>
      <rPr>
        <sz val="11"/>
        <color theme="1"/>
        <rFont val="맑은 고딕"/>
        <family val="2"/>
        <charset val="129"/>
      </rPr>
      <t xml:space="preserve">= 135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</si>
  <si>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 본교섭 운영</t>
  </si>
  <si>
    <t xml:space="preserve">임단협 실무교섭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</si>
  <si>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</si>
  <si>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허심탄회</t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</si>
  <si>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</si>
  <si>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만사소통</t>
  </si>
  <si>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대면소통</t>
    </r>
    <r>
      <rPr>
        <sz val="11"/>
        <color theme="1"/>
        <rFont val="맑은 고딕"/>
        <family val="2"/>
        <charset val="129"/>
      </rPr>
      <t xml:space="preserve">)×100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</si>
  <si>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</si>
  <si>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</si>
  <si>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</si>
  <si>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임단협 해설서 및 복지 매뉴얼 제작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배포</t>
    </r>
  </si>
  <si>
    <t xml:space="preserve">노사공동 임단협 결과 설명회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</si>
  <si>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</si>
  <si>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11-5-2. </t>
    </r>
    <r>
      <rPr>
        <sz val="11"/>
        <color theme="1"/>
        <rFont val="WenQuanYi Zen Hei"/>
        <family val="2"/>
      </rPr>
      <t xml:space="preserve">소통채널 활성화와 관리역량 강화를 통한 노사파트너십 향상</t>
    </r>
  </si>
  <si>
    <t xml:space="preserve">도서구입제작비</t>
  </si>
  <si>
    <r>
      <rPr>
        <sz val="11"/>
        <color theme="1"/>
        <rFont val="WenQuanYi Zen Hei"/>
        <family val="2"/>
      </rPr>
      <t xml:space="preserve">노동법 등 관련 서적 구독 가입비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 판례 조회 등을 위한 사이트 가입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</si>
  <si>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×732</t>
    </r>
    <r>
      <rPr>
        <sz val="11"/>
        <color theme="1"/>
        <rFont val="WenQuanYi Zen Hei"/>
        <family val="2"/>
      </rPr>
      <t xml:space="preserve">천원</t>
    </r>
  </si>
  <si>
    <t xml:space="preserve">고충상담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</si>
  <si>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</si>
  <si>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t xml:space="preserve">고충처리위원회 회의비</t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</si>
  <si>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</si>
  <si>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10-1-9 </t>
    </r>
    <r>
      <rPr>
        <sz val="11"/>
        <color theme="1"/>
        <rFont val="WenQuanYi Zen Hei"/>
        <family val="2"/>
      </rPr>
      <t xml:space="preserve">체계적인 기록물 관리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</si>
  <si>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체계적 기록물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 기록물 관리 지도 점검 시행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</si>
  <si>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x165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세종기준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</si>
  <si>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노무총무실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</si>
  <si>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사택 소모품 구매</t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</si>
  <si>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채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</si>
  <si>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11-2-2. </t>
    </r>
    <r>
      <rPr>
        <sz val="11"/>
        <color theme="1"/>
        <rFont val="WenQuanYi Zen Hei"/>
        <family val="2"/>
      </rPr>
      <t xml:space="preserve">쾌적한 사무환경 구축 및 효율적 공간 조성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</si>
  <si>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행정지원 효율화</t>
    </r>
    <r>
      <rPr>
        <sz val="11"/>
        <color theme="1"/>
        <rFont val="맑은 고딕"/>
        <family val="2"/>
        <charset val="129"/>
      </rPr>
      <t xml:space="preserve">)  </t>
    </r>
    <r>
      <rPr>
        <sz val="11"/>
        <color theme="1"/>
        <rFont val="WenQuanYi Zen Hei"/>
        <family val="2"/>
      </rPr>
      <t xml:space="preserve">공단 기념품 구매 및 관리</t>
    </r>
  </si>
  <si>
    <r>
      <rPr>
        <sz val="11"/>
        <color theme="1"/>
        <rFont val="맑은 고딕"/>
        <family val="2"/>
        <charset val="129"/>
      </rPr>
      <t xml:space="preserve">= 300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</si>
  <si>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다이어리 제작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</si>
  <si>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1,900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</si>
  <si>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달력 추가제작분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</si>
  <si>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</si>
  <si>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아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문서회신시스템 구축으로 행정 간소화</t>
    </r>
  </si>
  <si>
    <r>
      <rPr>
        <sz val="11"/>
        <color theme="1"/>
        <rFont val="맑은 고딕"/>
        <family val="2"/>
        <charset val="129"/>
      </rPr>
      <t xml:space="preserve">2-1-4. </t>
    </r>
    <r>
      <rPr>
        <sz val="11"/>
        <color theme="1"/>
        <rFont val="WenQuanYi Zen Hei"/>
        <family val="2"/>
      </rPr>
      <t xml:space="preserve">디지털지원실</t>
    </r>
  </si>
  <si>
    <r>
      <rPr>
        <sz val="11"/>
        <color theme="1"/>
        <rFont val="맑은 고딕"/>
        <family val="2"/>
        <charset val="129"/>
      </rPr>
      <t xml:space="preserve">12-7-2. </t>
    </r>
    <r>
      <rPr>
        <sz val="11"/>
        <color theme="1"/>
        <rFont val="WenQuanYi Zen Hei"/>
        <family val="2"/>
      </rPr>
      <t xml:space="preserve">안정적인 디지털 행정환경 조성을 위한 인프라 운영관리</t>
    </r>
  </si>
  <si>
    <t xml:space="preserve">관리용역비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</si>
  <si>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유지관리 실시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정보시스템 통합유지관리 용역</t>
    </r>
  </si>
  <si>
    <r>
      <rPr>
        <sz val="11"/>
        <color theme="1"/>
        <rFont val="맑은 고딕"/>
        <family val="2"/>
        <charset val="129"/>
      </rPr>
      <t xml:space="preserve">=12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×124,227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</si>
  <si>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</si>
  <si>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= 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</si>
  <si>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</si>
  <si>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</si>
  <si>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한컴오피스 라이선스 갱신</t>
    </r>
  </si>
  <si>
    <r>
      <rPr>
        <sz val="11"/>
        <color theme="1"/>
        <rFont val="맑은 고딕"/>
        <family val="2"/>
        <charset val="129"/>
      </rPr>
      <t xml:space="preserve">= 550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×92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</si>
  <si>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=450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×106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</si>
  <si>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4-2-1. </t>
    </r>
    <r>
      <rPr>
        <sz val="11"/>
        <color theme="1"/>
        <rFont val="WenQuanYi Zen Hei"/>
        <family val="2"/>
      </rPr>
      <t xml:space="preserve">문화홍보실</t>
    </r>
  </si>
  <si>
    <r>
      <rPr>
        <sz val="11"/>
        <color theme="1"/>
        <rFont val="맑은 고딕"/>
        <family val="2"/>
        <charset val="129"/>
      </rPr>
      <t xml:space="preserve">7-1-1. </t>
    </r>
    <r>
      <rPr>
        <sz val="11"/>
        <color theme="1"/>
        <rFont val="WenQuanYi Zen Hei"/>
        <family val="2"/>
      </rPr>
      <t xml:space="preserve">국내 승강기 안전주간 주관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</si>
  <si>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승강기안전주간공모전 홍보 대행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</si>
  <si>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</si>
  <si>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</si>
  <si>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</si>
  <si>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7-1-2. </t>
    </r>
    <r>
      <rPr>
        <sz val="11"/>
        <color theme="1"/>
        <rFont val="WenQuanYi Zen Hei"/>
        <family val="2"/>
      </rPr>
      <t xml:space="preserve">다양한 홍보채널을 활용한 안전홍보 활동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</si>
  <si>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영상물 저작권 계약 연장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</si>
  <si>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</si>
  <si>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</si>
  <si>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신문광고 평균</t>
    </r>
    <r>
      <rPr>
        <sz val="11"/>
        <color theme="1"/>
        <rFont val="맑은 고딕"/>
        <family val="2"/>
        <charset val="129"/>
      </rPr>
      <t xml:space="preserve">) 60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특별기고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</si>
  <si>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옥외전광판 광고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</si>
  <si>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</si>
  <si>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</si>
  <si>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</si>
  <si>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및 안전캠페인 홍보영상 제작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</si>
  <si>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</si>
  <si>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</si>
  <si>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 이슈대응 홍보콘텐츠 제작 및 송출</t>
    </r>
  </si>
  <si>
    <r>
      <rPr>
        <sz val="11"/>
        <color theme="1"/>
        <rFont val="맑은 고딕"/>
        <family val="2"/>
        <charset val="129"/>
      </rPr>
      <t xml:space="preserve">= 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</si>
  <si>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유튜브 안전홍보 콘텐츠 제작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</si>
  <si>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
</t>
    </r>
    <r>
      <rPr>
        <sz val="11"/>
        <color theme="1"/>
        <rFont val="맑은 고딕"/>
        <family val="2"/>
        <charset val="129"/>
      </rPr>
      <t xml:space="preserve">'=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</si>
  <si>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</si>
  <si>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7-2-1. </t>
    </r>
    <r>
      <rPr>
        <sz val="11"/>
        <color theme="1"/>
        <rFont val="WenQuanYi Zen Hei"/>
        <family val="2"/>
      </rPr>
      <t xml:space="preserve">유관기관 협업을 통한 승강기 이용자 안전홍보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</si>
  <si>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</si>
  <si>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</si>
  <si>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12-5-1. </t>
    </r>
    <r>
      <rPr>
        <sz val="11"/>
        <color theme="1"/>
        <rFont val="WenQuanYi Zen Hei"/>
        <family val="2"/>
      </rPr>
      <t xml:space="preserve">맞춤형 지역사회 상생활동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</si>
  <si>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지역사회 공헌활동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지역문화축제 후원 및 기관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</si>
  <si>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</si>
  <si>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맞춤형 나눔문화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지역사회 김장나눔행사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</si>
  <si>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 세목 수정</t>
    </r>
    <r>
      <rPr>
        <sz val="11"/>
        <color theme="1"/>
        <rFont val="맑은 고딕"/>
        <family val="2"/>
        <charset val="129"/>
      </rPr>
      <t xml:space="preserve">)</t>
    </r>
  </si>
  <si>
    <t xml:space="preserve">일반용역비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</si>
  <si>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명함 및 뱃지 제작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</si>
  <si>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</si>
  <si>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×14.5</t>
    </r>
    <r>
      <rPr>
        <sz val="11"/>
        <color theme="1"/>
        <rFont val="WenQuanYi Zen Hei"/>
        <family val="2"/>
      </rPr>
      <t xml:space="preserve">천원</t>
    </r>
  </si>
  <si>
    <t xml:space="preserve">임직원 명함 및 뱃지 제작 비용 축소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</si>
  <si>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대국민 캠페인 홍보용품 제작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</si>
  <si>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</si>
  <si>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×19,575</t>
    </r>
    <r>
      <rPr>
        <sz val="11"/>
        <color theme="1"/>
        <rFont val="WenQuanYi Zen Hei"/>
        <family val="2"/>
      </rPr>
      <t xml:space="preserve">천원</t>
    </r>
  </si>
  <si>
    <t xml:space="preserve">대국민 캠페인 홍보용품 제작 규모 축소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</si>
  <si>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라디오 광고</t>
    </r>
  </si>
  <si>
    <r>
      <rPr>
        <sz val="11"/>
        <color theme="1"/>
        <rFont val="맑은 고딕"/>
        <family val="2"/>
        <charset val="129"/>
      </rPr>
      <t xml:space="preserve">= (SA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146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</si>
  <si>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x19,690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</si>
  <si>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라디오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뉴미디어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유튜브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광고 규모 축소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</si>
  <si>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</si>
  <si>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×13,200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</si>
  <si>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</si>
  <si>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규모 축소</t>
    </r>
  </si>
  <si>
    <r>
      <rPr>
        <sz val="11"/>
        <color theme="1"/>
        <rFont val="맑은 고딕"/>
        <family val="2"/>
        <charset val="129"/>
      </rPr>
      <t xml:space="preserve">5-2-1. </t>
    </r>
    <r>
      <rPr>
        <sz val="11"/>
        <color theme="1"/>
        <rFont val="WenQuanYi Zen Hei"/>
        <family val="2"/>
      </rPr>
      <t xml:space="preserve">산업지원실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</si>
  <si>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국내 승강기 산업의 해외진출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</si>
  <si>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해외 엑스포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국제교류 기념품 및 한국관 홍보물 구입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</si>
  <si>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2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1,500</t>
    </r>
    <r>
      <rPr>
        <sz val="11"/>
        <color theme="1"/>
        <rFont val="WenQuanYi Zen Hei"/>
        <family val="2"/>
      </rPr>
      <t xml:space="preserve">천원</t>
    </r>
  </si>
  <si>
    <t xml:space="preserve">국제교류 및 한국관 홍보물 구입비용 증가</t>
  </si>
  <si>
    <r>
      <rPr>
        <sz val="11"/>
        <color theme="1"/>
        <rFont val="맑은 고딕"/>
        <family val="2"/>
        <charset val="129"/>
      </rPr>
      <t xml:space="preserve">2-1-3. </t>
    </r>
    <r>
      <rPr>
        <sz val="11"/>
        <color theme="1"/>
        <rFont val="WenQuanYi Zen Hei"/>
        <family val="2"/>
      </rPr>
      <t xml:space="preserve">성과경영실</t>
    </r>
  </si>
  <si>
    <r>
      <rPr>
        <sz val="11"/>
        <color theme="1"/>
        <rFont val="맑은 고딕"/>
        <family val="2"/>
        <charset val="129"/>
      </rPr>
      <t xml:space="preserve">10-1-3. KoELSA </t>
    </r>
    <r>
      <rPr>
        <sz val="11"/>
        <color theme="1"/>
        <rFont val="WenQuanYi Zen Hei"/>
        <family val="2"/>
      </rPr>
      <t xml:space="preserve">경영혁신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개선 계획 수립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</si>
  <si>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제안제도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우수제안ᆞ우수실행ᆞ우수활동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</si>
  <si>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우수제안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우수실행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부서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개인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우수활동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</si>
  <si>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</si>
  <si>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t xml:space="preserve">제안제도 운영규정에 따른 포상금액 적용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</si>
  <si>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경영혁신ᆞ개선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혁신경진대회 우수자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</si>
  <si>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최우수상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우수상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장려상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</si>
  <si>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</si>
  <si>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적극행정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적극행정경진대회 우수자 포상</t>
    </r>
  </si>
  <si>
    <r>
      <rPr>
        <sz val="11"/>
        <color theme="1"/>
        <rFont val="맑은 고딕"/>
        <family val="2"/>
        <charset val="129"/>
      </rPr>
      <t xml:space="preserve">=8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</si>
  <si>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1-2-1. </t>
    </r>
    <r>
      <rPr>
        <sz val="11"/>
        <color theme="1"/>
        <rFont val="WenQuanYi Zen Hei"/>
        <family val="2"/>
      </rPr>
      <t xml:space="preserve">안전관리실</t>
    </r>
  </si>
  <si>
    <r>
      <rPr>
        <sz val="11"/>
        <color theme="1"/>
        <rFont val="맑은 고딕"/>
        <family val="2"/>
        <charset val="129"/>
      </rPr>
      <t xml:space="preserve">11-3-3. </t>
    </r>
    <r>
      <rPr>
        <sz val="11"/>
        <color theme="1"/>
        <rFont val="WenQuanYi Zen Hei"/>
        <family val="2"/>
      </rPr>
      <t xml:space="preserve">직원 참여형 안전보건 위험요소 발굴 및 제거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</si>
  <si>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안전활동 운영 및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근로자 건강증진 활동 용역비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</si>
  <si>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</si>
  <si>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×16,000</t>
    </r>
    <r>
      <rPr>
        <sz val="11"/>
        <color theme="1"/>
        <rFont val="WenQuanYi Zen Hei"/>
        <family val="2"/>
      </rPr>
      <t xml:space="preserve">천원</t>
    </r>
  </si>
  <si>
    <t xml:space="preserve">건강검진 결과 수집 용역 비용 증가</t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</si>
  <si>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분기</t>
    </r>
  </si>
  <si>
    <r>
      <rPr>
        <sz val="11"/>
        <color theme="1"/>
        <rFont val="맑은 고딕"/>
        <family val="2"/>
        <charset val="129"/>
      </rPr>
      <t xml:space="preserve">11-3-2. </t>
    </r>
    <r>
      <rPr>
        <sz val="11"/>
        <color theme="1"/>
        <rFont val="WenQuanYi Zen Hei"/>
        <family val="2"/>
      </rPr>
      <t xml:space="preserve">기관 맞춤형 자율 안전보건관리 체계 및 중소기업 구축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</si>
  <si>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내외부 소통채널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중앙 산업안전보건위원회 회의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</si>
  <si>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</si>
  <si>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</si>
  <si>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분기</t>
    </r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</si>
  <si>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내근직 연간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 지급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사무안전질환예방비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</si>
  <si>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산업재해 재발방지대책 안전관리물품 지원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</si>
  <si>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</si>
  <si>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화재대피용 방연마스크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</si>
  <si>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82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</si>
  <si>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</si>
  <si>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410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</si>
  <si>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</si>
  <si>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채용형 인턴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기간제근로자 직원</t>
    </r>
    <r>
      <rPr>
        <sz val="11"/>
        <color theme="1"/>
        <rFont val="맑은 고딕"/>
        <family val="2"/>
        <charset val="129"/>
      </rPr>
      <t xml:space="preserve">)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 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+ (</t>
    </r>
    <r>
      <rPr>
        <sz val="11"/>
        <color theme="1"/>
        <rFont val="WenQuanYi Zen Hei"/>
        <family val="2"/>
      </rPr>
      <t xml:space="preserve">안전모 구매</t>
    </r>
    <r>
      <rPr>
        <sz val="11"/>
        <color theme="1"/>
        <rFont val="맑은 고딕"/>
        <family val="2"/>
        <charset val="129"/>
      </rPr>
      <t xml:space="preserve">)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안전대 구매</t>
    </r>
    <r>
      <rPr>
        <sz val="11"/>
        <color theme="1"/>
        <rFont val="맑은 고딕"/>
        <family val="2"/>
        <charset val="129"/>
      </rPr>
      <t xml:space="preserve">) 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</si>
  <si>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사무안전질환 예방물품 지급</t>
    </r>
  </si>
  <si>
    <r>
      <rPr>
        <sz val="11"/>
        <color theme="1"/>
        <rFont val="맑은 고딕"/>
        <family val="2"/>
        <charset val="129"/>
      </rPr>
      <t xml:space="preserve">= 450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</si>
  <si>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</si>
  <si>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지정검사기관 관계 재정립</t>
    </r>
  </si>
  <si>
    <r>
      <rPr>
        <sz val="11"/>
        <color theme="1"/>
        <rFont val="맑은 고딕"/>
        <family val="2"/>
        <charset val="129"/>
      </rPr>
      <t xml:space="preserve">3-1-2. </t>
    </r>
    <r>
      <rPr>
        <sz val="11"/>
        <color theme="1"/>
        <rFont val="WenQuanYi Zen Hei"/>
        <family val="2"/>
      </rPr>
      <t xml:space="preserve">안전제도실</t>
    </r>
  </si>
  <si>
    <r>
      <rPr>
        <sz val="11"/>
        <color theme="1"/>
        <rFont val="맑은 고딕"/>
        <family val="2"/>
        <charset val="129"/>
      </rPr>
      <t xml:space="preserve">3-2-3. </t>
    </r>
    <r>
      <rPr>
        <sz val="11"/>
        <color theme="1"/>
        <rFont val="WenQuanYi Zen Hei"/>
        <family val="2"/>
      </rPr>
      <t xml:space="preserve">지정검사기관 검사품질 향상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</si>
  <si>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점검 및 평가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품질평가 관련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</si>
  <si>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</si>
  <si>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6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</si>
  <si>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평가대상 기관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개사 증가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총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개사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</si>
  <si>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3-1-4. </t>
    </r>
    <r>
      <rPr>
        <sz val="11"/>
        <color theme="1"/>
        <rFont val="WenQuanYi Zen Hei"/>
        <family val="2"/>
      </rPr>
      <t xml:space="preserve">승강기 관련 안전기준 연구개발 및 국제 표준화 활동</t>
    </r>
  </si>
  <si>
    <t xml:space="preserve">국외업무여비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</si>
  <si>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 또는 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</si>
  <si>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 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</si>
  <si>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</si>
  <si>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</si>
  <si>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×(1,854.93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700 + 3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$176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(0.15)
* </t>
    </r>
    <r>
      <rPr>
        <sz val="11"/>
        <color theme="1"/>
        <rFont val="WenQuanYi Zen Hei"/>
        <family val="2"/>
      </rPr>
      <t xml:space="preserve">가등급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인천↔싱가포르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의장국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</si>
  <si>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</si>
  <si>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 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</si>
  <si>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지도지원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지도지원에 관한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</si>
  <si>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</si>
  <si>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9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</si>
  <si>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협의회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실무회의 및 검사협의회 개최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</si>
  <si>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실무회의</t>
    </r>
    <r>
      <rPr>
        <sz val="11"/>
        <color theme="1"/>
        <rFont val="맑은 고딕"/>
        <family val="2"/>
        <charset val="129"/>
      </rPr>
      <t xml:space="preserve">)+15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검사협의회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</si>
  <si>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</si>
  <si>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안전기준개발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신규 표준적용 관련 산업체 의견수렴을 위한 공청회 개최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</si>
  <si>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</si>
  <si>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</si>
  <si>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9-3-1. </t>
    </r>
    <r>
      <rPr>
        <sz val="11"/>
        <color theme="1"/>
        <rFont val="WenQuanYi Zen Hei"/>
        <family val="2"/>
      </rPr>
      <t xml:space="preserve">승강기안전 국민참여단 운영으로 국민소통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</si>
  <si>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 발송</t>
    </r>
  </si>
  <si>
    <r>
      <rPr>
        <sz val="11"/>
        <color theme="1"/>
        <rFont val="맑은 고딕"/>
        <family val="2"/>
        <charset val="129"/>
      </rPr>
      <t xml:space="preserve">=40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</si>
  <si>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</si>
  <si>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=49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</si>
  <si>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</si>
  <si>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</si>
  <si>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</si>
  <si>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</si>
  <si>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3-1-3. </t>
    </r>
    <r>
      <rPr>
        <sz val="11"/>
        <color theme="1"/>
        <rFont val="WenQuanYi Zen Hei"/>
        <family val="2"/>
      </rPr>
      <t xml:space="preserve">국민이 참여하는 효율적인 승강기 제도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</si>
  <si>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제도개선 과제 의견수렴을 위한 이해관계자 협의체 운영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</si>
  <si>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</si>
  <si>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</si>
  <si>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통역 및 수행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</si>
  <si>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</si>
  <si>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초청 강의수당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</si>
  <si>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</si>
  <si>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</si>
  <si>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해외연수 확대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</si>
  <si>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인재경영실</t>
    </r>
  </si>
  <si>
    <r>
      <rPr>
        <sz val="11"/>
        <color theme="1"/>
        <rFont val="맑은 고딕"/>
        <family val="2"/>
        <charset val="129"/>
      </rPr>
      <t xml:space="preserve">12-3-2. </t>
    </r>
    <r>
      <rPr>
        <sz val="11"/>
        <color theme="1"/>
        <rFont val="WenQuanYi Zen Hei"/>
        <family val="2"/>
      </rPr>
      <t xml:space="preserve">자기주도 학습 정착을 통한 구성원 능동적 학습문화 조성</t>
    </r>
  </si>
  <si>
    <t xml:space="preserve">교육훈련운영비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</si>
  <si>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</si>
  <si>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×1,400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</si>
  <si>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</si>
  <si>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WenQuanYi Zen Hei"/>
        <family val="2"/>
      </rPr>
      <t xml:space="preserve">인원수 증가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항공권 비용 상승</t>
    </r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</si>
  <si>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희망자 외부교육 보장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</si>
  <si>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</si>
  <si>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</si>
  <si>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15.5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</si>
  <si>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학위취득 대상자 증가</t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</si>
  <si>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</si>
  <si>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</si>
  <si>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</si>
  <si>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신규 학위취득 대상자 증가 운영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</si>
  <si>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신입사원 실무역량 강화 교육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</si>
  <si>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+70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</si>
  <si>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= 80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일</t>
    </r>
  </si>
  <si>
    <t xml:space="preserve">인원 증가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</si>
  <si>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직무별 외부위탁교육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</si>
  <si>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</si>
  <si>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</si>
  <si>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외부위탁교육 대상인원 증가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</si>
  <si>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장기근속자 대상 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</si>
  <si>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</si>
  <si>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</si>
  <si>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항공권 물가 상승</t>
  </si>
  <si>
    <t xml:space="preserve">-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</si>
  <si>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</si>
  <si>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</si>
  <si>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유일한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공인 자격증의 취득을 공단 차원에서 지원</t>
    </r>
    <r>
      <rPr>
        <sz val="11"/>
        <color theme="1"/>
        <rFont val="맑은 고딕"/>
        <family val="2"/>
        <charset val="129"/>
      </rPr>
      <t xml:space="preserve">(2025</t>
    </r>
    <r>
      <rPr>
        <sz val="11"/>
        <color theme="1"/>
        <rFont val="WenQuanYi Zen Hei"/>
        <family val="2"/>
      </rPr>
      <t xml:space="preserve">년 최초 지원 예산과 동일하게 책정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</si>
  <si>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</si>
  <si>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</si>
  <si>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월</t>
    </r>
  </si>
  <si>
    <t xml:space="preserve">교육훈련강사료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</si>
  <si>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부가가치세신고 및 납부실무 교육 강사료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</si>
  <si>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</si>
  <si>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</si>
  <si>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</si>
  <si>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승강기검사 접수 관련 직무 역량 교육 운영 필요</t>
  </si>
  <si>
    <r>
      <rPr>
        <sz val="11"/>
        <color theme="1"/>
        <rFont val="맑은 고딕"/>
        <family val="2"/>
        <charset val="129"/>
      </rPr>
      <t xml:space="preserve">1-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전사적 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명예퇴직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</si>
  <si>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12-2-3. </t>
    </r>
    <r>
      <rPr>
        <sz val="11"/>
        <color theme="1"/>
        <rFont val="WenQuanYi Zen Hei"/>
        <family val="2"/>
      </rPr>
      <t xml:space="preserve">평등실현을 위한 공정하고 투명한 인사제도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</si>
  <si>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인사제도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정년 및 명예퇴직자 행사 등 지원비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</si>
  <si>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'26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</si>
  <si>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기타운영비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</si>
  <si>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'27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</si>
  <si>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WenQuanYi Zen Hei"/>
        <family val="2"/>
      </rPr>
      <t xml:space="preserve">명예퇴직</t>
    </r>
    <r>
      <rPr>
        <sz val="11"/>
        <color theme="1"/>
        <rFont val="맑은 고딕"/>
        <family val="2"/>
        <charset val="129"/>
      </rPr>
      <t xml:space="preserve">(6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정년퇴직자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명으로 작년 대비 인원 추가</t>
    </r>
    <r>
      <rPr>
        <sz val="11"/>
        <color theme="1"/>
        <rFont val="맑은 고딕"/>
        <family val="2"/>
        <charset val="129"/>
      </rPr>
      <t xml:space="preserve">(9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-&gt;15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</t>
    </r>
  </si>
  <si>
    <t xml:space="preserve">동호회 운영비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</si>
  <si>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</si>
  <si>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동호회 운영비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</si>
  <si>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</si>
  <si>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1-1-2. </t>
    </r>
    <r>
      <rPr>
        <sz val="11"/>
        <color theme="1"/>
        <rFont val="WenQuanYi Zen Hei"/>
        <family val="2"/>
      </rPr>
      <t xml:space="preserve">재난예방실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</si>
  <si>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맞춤형 승강기 사고 예방활동 강화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</si>
  <si>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생활 속 이동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교통약자 대상 승강기 사고예방 사업 추진 홍보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</si>
  <si>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</si>
  <si>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</si>
  <si>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촘촘한 재난대응체계 구축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</si>
  <si>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피난용 승강기 사고예방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피난용 승강기 모의훈련 지원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</si>
  <si>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지역본부</t>
    </r>
    <r>
      <rPr>
        <sz val="11"/>
        <color theme="1"/>
        <rFont val="맑은 고딕"/>
        <family val="2"/>
        <charset val="129"/>
      </rPr>
      <t xml:space="preserve">)×300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</si>
  <si>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안전점검의날 행사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안전점검의 날 행사 지원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</si>
  <si>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</si>
  <si>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</si>
  <si>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2-2-3. </t>
    </r>
    <r>
      <rPr>
        <sz val="11"/>
        <color theme="1"/>
        <rFont val="WenQuanYi Zen Hei"/>
        <family val="2"/>
      </rPr>
      <t xml:space="preserve">재무관리실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</si>
  <si>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</si>
  <si>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자산구조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정기재물조사 실지조사 및 물품담당자 교육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</si>
  <si>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</si>
  <si>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10-3-3. </t>
    </r>
    <r>
      <rPr>
        <sz val="11"/>
        <color theme="1"/>
        <rFont val="WenQuanYi Zen Hei"/>
        <family val="2"/>
      </rPr>
      <t xml:space="preserve">회계 신뢰성 제고 및 효율적 세무관리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</si>
  <si>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분기별 결산자료 검토 및 보고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</si>
  <si>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</si>
  <si>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재무성과 계량지표 실적 분석 회의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</si>
  <si>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</si>
  <si>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</si>
  <si>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6-1-1. </t>
    </r>
    <r>
      <rPr>
        <sz val="11"/>
        <color theme="1"/>
        <rFont val="WenQuanYi Zen Hei"/>
        <family val="2"/>
      </rPr>
      <t xml:space="preserve">전략감사실</t>
    </r>
  </si>
  <si>
    <r>
      <rPr>
        <sz val="11"/>
        <color theme="1"/>
        <rFont val="맑은 고딕"/>
        <family val="2"/>
        <charset val="129"/>
      </rPr>
      <t xml:space="preserve">12-4-5. </t>
    </r>
    <r>
      <rPr>
        <sz val="11"/>
        <color theme="1"/>
        <rFont val="WenQuanYi Zen Hei"/>
        <family val="2"/>
      </rPr>
      <t xml:space="preserve">공정투명한 경영실현을 위한 안정적인 경영지원 기능수행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</si>
  <si>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감사정보수집 활동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</si>
  <si>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</si>
  <si>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</si>
  <si>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2-2-5. </t>
    </r>
    <r>
      <rPr>
        <sz val="11"/>
        <color theme="1"/>
        <rFont val="WenQuanYi Zen Hei"/>
        <family val="2"/>
      </rPr>
      <t xml:space="preserve">정보보안팀</t>
    </r>
  </si>
  <si>
    <r>
      <rPr>
        <sz val="11"/>
        <color theme="1"/>
        <rFont val="맑은 고딕"/>
        <family val="2"/>
        <charset val="129"/>
      </rPr>
      <t xml:space="preserve">11-7-2. </t>
    </r>
    <r>
      <rPr>
        <sz val="11"/>
        <color theme="1"/>
        <rFont val="WenQuanYi Zen Hei"/>
        <family val="2"/>
      </rPr>
      <t xml:space="preserve">국가 보안정책과 연계한 정보보안 관리체계 고도화</t>
    </r>
  </si>
  <si>
    <t xml:space="preserve">국정원 및 행안부 사이버보안 실태 점검 대응 회의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</si>
  <si>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</si>
  <si>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</si>
  <si>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11-7-3. </t>
    </r>
    <r>
      <rPr>
        <sz val="11"/>
        <color theme="1"/>
        <rFont val="WenQuanYi Zen Hei"/>
        <family val="2"/>
      </rPr>
      <t xml:space="preserve">사이버 위협 대응 인프라 구축 및 </t>
    </r>
    <r>
      <rPr>
        <sz val="11"/>
        <color theme="1"/>
        <rFont val="맑은 고딕"/>
        <family val="2"/>
        <charset val="129"/>
      </rPr>
      <t xml:space="preserve">24</t>
    </r>
    <r>
      <rPr>
        <sz val="11"/>
        <color theme="1"/>
        <rFont val="WenQuanYi Zen Hei"/>
        <family val="2"/>
      </rPr>
      <t xml:space="preserve">시간 보안관제 운영</t>
    </r>
  </si>
  <si>
    <t xml:space="preserve">사이버위기 대응훈련 실시를 위한 업무협의 등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</si>
  <si>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</si>
  <si>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</si>
  <si>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6-1-2. </t>
    </r>
    <r>
      <rPr>
        <sz val="11"/>
        <color theme="1"/>
        <rFont val="WenQuanYi Zen Hei"/>
        <family val="2"/>
      </rPr>
      <t xml:space="preserve">청렴감사실</t>
    </r>
  </si>
  <si>
    <r>
      <rPr>
        <sz val="11"/>
        <color theme="1"/>
        <rFont val="맑은 고딕"/>
        <family val="2"/>
        <charset val="129"/>
      </rPr>
      <t xml:space="preserve">12-6-3. </t>
    </r>
    <r>
      <rPr>
        <sz val="11"/>
        <color theme="1"/>
        <rFont val="WenQuanYi Zen Hei"/>
        <family val="2"/>
      </rPr>
      <t xml:space="preserve">공직기강 확립을 위한 점검 및 모니터링 체계 고도화</t>
    </r>
  </si>
  <si>
    <t xml:space="preserve">감사인 활동비</t>
  </si>
  <si>
    <r>
      <rPr>
        <sz val="11"/>
        <color theme="1"/>
        <rFont val="맑은 고딕"/>
        <family val="2"/>
        <charset val="129"/>
      </rPr>
      <t xml:space="preserve">=5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</si>
</sst>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* #,##0_);_(* \(#,##0\);_(* \-_);_(@_)"/>
    <numFmt numFmtId="166" formatCode="#,##0"/>
    <numFmt numFmtId="167" formatCode="#,##0_);[RED]\(#,##0\)"/>
    <numFmt numFmtId="168" formatCode="_-* #,##0_-;\-* #,##0_-;_-* \-_-;_-@_-"/>
    <numFmt numFmtId="169" formatCode="#,##0.0"/>
    <numFmt numFmtId="170" formatCode="#,##0_ "/>
    <numFmt numFmtId="171" formatCode="#,##0_);[RED]\(#,##0\)"/>
    <numFmt numFmtId="172" formatCode="@"/>
  </numFmts>
  <fonts count="10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sz val="11"/>
      <color theme="1"/>
      <name val="WenQuanYi Zen Hei"/>
      <family val="2"/>
    </font>
    <font>
      <b val="true"/>
      <sz val="10"/>
      <name val="WenQuanYi Zen Hei"/>
      <family val="2"/>
    </font>
    <font>
      <b val="true"/>
      <sz val="10"/>
      <name val="맑은 고딕"/>
      <family val="3"/>
      <charset val="129"/>
    </font>
    <font>
      <b val="true"/>
      <sz val="10"/>
      <color theme="0"/>
      <name val="WenQuanYi Zen Hei"/>
      <family val="2"/>
    </font>
    <font>
      <b val="true"/>
      <sz val="10"/>
      <color theme="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3" tint="-0.25"/>
        <bgColor rgb="FF3333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0000FF"/>
      </left>
      <right/>
      <top/>
      <bottom/>
      <diagonal/>
    </border>
    <border diagonalUp="false" diagonalDown="false">
      <left style="thin"/>
      <right style="medium">
        <color rgb="FF0000FF"/>
      </right>
      <top style="thin"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표준 4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41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F7" activeCellId="0" sqref="F7"/>
    </sheetView>
  </sheetViews>
  <sheetFormatPr defaultColWidth="8.53125" defaultRowHeight="16.5" zeroHeight="false" outlineLevelRow="0" outlineLevelCol="0"/>
  <sheetData>
    <row r="2" customFormat="false" ht="16.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4" t="s">
        <v>12</v>
      </c>
      <c r="N2" s="5" t="s">
        <v>8</v>
      </c>
      <c r="O2" s="6" t="s">
        <v>9</v>
      </c>
      <c r="P2" s="6" t="s">
        <v>13</v>
      </c>
      <c r="Q2" s="6" t="s">
        <v>14</v>
      </c>
      <c r="R2" s="6" t="s">
        <v>15</v>
      </c>
      <c r="S2" s="6"/>
      <c r="T2" s="6"/>
      <c r="U2" s="6" t="s">
        <v>16</v>
      </c>
      <c r="V2" s="7" t="s">
        <v>17</v>
      </c>
      <c r="W2" s="8"/>
      <c r="X2" s="8" t="s">
        <v>18</v>
      </c>
      <c r="Y2" s="8" t="s">
        <v>19</v>
      </c>
      <c r="Z2" s="8" t="s">
        <v>20</v>
      </c>
      <c r="AA2" s="9" t="s">
        <v>21</v>
      </c>
    </row>
    <row r="3" customFormat="false" ht="125.35" hidden="false" customHeight="false" outlineLevel="0" collapsed="false">
      <c r="A3" s="10"/>
      <c r="B3" s="10"/>
      <c r="C3" s="11" t="s">
        <v>22</v>
      </c>
      <c r="D3" s="12" t="s">
        <v>23</v>
      </c>
      <c r="E3" s="10"/>
      <c r="F3" s="10" t="n">
        <v>22</v>
      </c>
      <c r="G3" s="10" t="s">
        <v>24</v>
      </c>
      <c r="H3" s="13" t="s">
        <v>25</v>
      </c>
      <c r="I3" s="14" t="s">
        <v>26</v>
      </c>
      <c r="J3" s="14" t="s">
        <v>27</v>
      </c>
      <c r="K3" s="15" t="s">
        <v>28</v>
      </c>
      <c r="L3" s="16" t="s">
        <v>29</v>
      </c>
      <c r="M3" s="14" t="n">
        <f aca="false">40*12*70</f>
        <v>33600</v>
      </c>
      <c r="N3" s="17" t="s">
        <v>30</v>
      </c>
      <c r="O3" s="17" t="s">
        <v>27</v>
      </c>
      <c r="P3" s="18" t="s">
        <v>28</v>
      </c>
      <c r="Q3" s="18" t="s">
        <v>31</v>
      </c>
      <c r="R3" s="19" t="n">
        <v>22680</v>
      </c>
      <c r="S3" s="10"/>
      <c r="T3" s="10"/>
      <c r="U3" s="19" t="n">
        <v>22680</v>
      </c>
      <c r="V3" s="13" t="s">
        <v>32</v>
      </c>
      <c r="W3" s="20" t="s">
        <v>33</v>
      </c>
      <c r="X3" s="14" t="n">
        <v>7560</v>
      </c>
      <c r="Y3" s="14" t="n">
        <v>7560</v>
      </c>
      <c r="Z3" s="14" t="n">
        <v>7560</v>
      </c>
      <c r="AA3" s="10"/>
    </row>
    <row r="4" customFormat="false" ht="97" hidden="false" customHeight="false" outlineLevel="0" collapsed="false">
      <c r="A4" s="10"/>
      <c r="B4" s="10"/>
      <c r="C4" s="11" t="s">
        <v>34</v>
      </c>
      <c r="D4" s="12" t="s">
        <v>35</v>
      </c>
      <c r="E4" s="10"/>
      <c r="F4" s="10" t="n">
        <v>27</v>
      </c>
      <c r="G4" s="21" t="s">
        <v>24</v>
      </c>
      <c r="H4" s="13" t="s">
        <v>36</v>
      </c>
      <c r="I4" s="10"/>
      <c r="J4" s="10"/>
      <c r="K4" s="12"/>
      <c r="L4" s="12"/>
      <c r="M4" s="10"/>
      <c r="N4" s="17" t="s">
        <v>37</v>
      </c>
      <c r="O4" s="17" t="s">
        <v>38</v>
      </c>
      <c r="P4" s="18" t="s">
        <v>39</v>
      </c>
      <c r="Q4" s="18" t="s">
        <v>40</v>
      </c>
      <c r="R4" s="19" t="n">
        <v>5000</v>
      </c>
      <c r="S4" s="10"/>
      <c r="T4" s="10"/>
      <c r="U4" s="19" t="n">
        <v>5000</v>
      </c>
      <c r="V4" s="22" t="s">
        <v>41</v>
      </c>
      <c r="W4" s="20" t="s">
        <v>42</v>
      </c>
      <c r="X4" s="10"/>
      <c r="Y4" s="21" t="n">
        <v>5000</v>
      </c>
      <c r="Z4" s="10"/>
      <c r="AA4" s="10"/>
    </row>
    <row r="5" customFormat="false" ht="265.65" hidden="false" customHeight="false" outlineLevel="0" collapsed="false">
      <c r="A5" s="10"/>
      <c r="B5" s="10"/>
      <c r="C5" s="11" t="s">
        <v>34</v>
      </c>
      <c r="D5" s="12" t="s">
        <v>43</v>
      </c>
      <c r="E5" s="10"/>
      <c r="F5" s="10" t="n">
        <v>8</v>
      </c>
      <c r="G5" s="23" t="s">
        <v>44</v>
      </c>
      <c r="H5" s="13" t="s">
        <v>45</v>
      </c>
      <c r="I5" s="24" t="s">
        <v>30</v>
      </c>
      <c r="J5" s="24" t="s">
        <v>46</v>
      </c>
      <c r="K5" s="25" t="s">
        <v>47</v>
      </c>
      <c r="L5" s="16" t="s">
        <v>48</v>
      </c>
      <c r="M5" s="20" t="n">
        <v>3000</v>
      </c>
      <c r="N5" s="24" t="s">
        <v>30</v>
      </c>
      <c r="O5" s="24" t="s">
        <v>46</v>
      </c>
      <c r="P5" s="25" t="s">
        <v>47</v>
      </c>
      <c r="Q5" s="18" t="s">
        <v>49</v>
      </c>
      <c r="R5" s="19" t="n">
        <v>3000</v>
      </c>
      <c r="S5" s="10"/>
      <c r="T5" s="19" t="n">
        <v>3000</v>
      </c>
      <c r="U5" s="10"/>
      <c r="V5" s="22" t="s">
        <v>50</v>
      </c>
      <c r="W5" s="20" t="s">
        <v>51</v>
      </c>
      <c r="X5" s="20" t="n">
        <v>0</v>
      </c>
      <c r="Y5" s="20" t="n">
        <v>0</v>
      </c>
      <c r="Z5" s="20" t="n">
        <v>0</v>
      </c>
      <c r="AA5" s="20" t="n">
        <v>3000</v>
      </c>
    </row>
    <row r="6" customFormat="false" ht="98.5" hidden="false" customHeight="false" outlineLevel="0" collapsed="false">
      <c r="A6" s="10"/>
      <c r="B6" s="10"/>
      <c r="C6" s="11" t="s">
        <v>34</v>
      </c>
      <c r="D6" s="12" t="s">
        <v>43</v>
      </c>
      <c r="E6" s="10"/>
      <c r="F6" s="10" t="n">
        <v>39</v>
      </c>
      <c r="G6" s="23" t="s">
        <v>44</v>
      </c>
      <c r="H6" s="13" t="s">
        <v>45</v>
      </c>
      <c r="I6" s="24" t="s">
        <v>30</v>
      </c>
      <c r="J6" s="11" t="s">
        <v>27</v>
      </c>
      <c r="K6" s="12"/>
      <c r="L6" s="12"/>
      <c r="M6" s="10"/>
      <c r="N6" s="24" t="s">
        <v>30</v>
      </c>
      <c r="O6" s="11" t="s">
        <v>27</v>
      </c>
      <c r="P6" s="25" t="s">
        <v>52</v>
      </c>
      <c r="Q6" s="13" t="s">
        <v>53</v>
      </c>
      <c r="R6" s="19" t="n">
        <v>3600</v>
      </c>
      <c r="S6" s="10"/>
      <c r="T6" s="19" t="n">
        <v>3600</v>
      </c>
      <c r="U6" s="10"/>
      <c r="V6" s="22" t="s">
        <v>54</v>
      </c>
      <c r="W6" s="20" t="s">
        <v>33</v>
      </c>
      <c r="X6" s="20" t="n">
        <v>0</v>
      </c>
      <c r="Y6" s="20" t="n">
        <v>1200</v>
      </c>
      <c r="Z6" s="20" t="n">
        <v>1200</v>
      </c>
      <c r="AA6" s="20" t="n">
        <v>1200</v>
      </c>
    </row>
    <row r="7" customFormat="false" ht="123.85" hidden="false" customHeight="false" outlineLevel="0" collapsed="false">
      <c r="A7" s="10"/>
      <c r="B7" s="10"/>
      <c r="C7" s="11" t="s">
        <v>34</v>
      </c>
      <c r="D7" s="12" t="s">
        <v>43</v>
      </c>
      <c r="E7" s="10"/>
      <c r="F7" s="10" t="n">
        <v>43</v>
      </c>
      <c r="G7" s="23" t="s">
        <v>44</v>
      </c>
      <c r="H7" s="13" t="s">
        <v>45</v>
      </c>
      <c r="I7" s="24" t="s">
        <v>30</v>
      </c>
      <c r="J7" s="24" t="s">
        <v>55</v>
      </c>
      <c r="K7" s="12"/>
      <c r="L7" s="12"/>
      <c r="M7" s="10"/>
      <c r="N7" s="24" t="s">
        <v>30</v>
      </c>
      <c r="O7" s="24" t="s">
        <v>55</v>
      </c>
      <c r="P7" s="25" t="s">
        <v>56</v>
      </c>
      <c r="Q7" s="13" t="s">
        <v>57</v>
      </c>
      <c r="R7" s="19" t="n">
        <v>3000</v>
      </c>
      <c r="S7" s="10"/>
      <c r="T7" s="19" t="n">
        <v>3000</v>
      </c>
      <c r="U7" s="10"/>
      <c r="V7" s="22" t="s">
        <v>58</v>
      </c>
      <c r="W7" s="20" t="s">
        <v>51</v>
      </c>
      <c r="X7" s="20" t="n">
        <v>0</v>
      </c>
      <c r="Y7" s="20" t="n">
        <v>3000</v>
      </c>
      <c r="Z7" s="20" t="n">
        <v>0</v>
      </c>
      <c r="AA7" s="20" t="n">
        <v>0</v>
      </c>
    </row>
    <row r="8" customFormat="false" ht="139.55" hidden="false" customHeight="false" outlineLevel="0" collapsed="false">
      <c r="A8" s="10"/>
      <c r="B8" s="10"/>
      <c r="C8" s="11" t="s">
        <v>59</v>
      </c>
      <c r="D8" s="12" t="s">
        <v>60</v>
      </c>
      <c r="E8" s="10"/>
      <c r="F8" s="10" t="n">
        <v>4</v>
      </c>
      <c r="G8" s="20" t="s">
        <v>61</v>
      </c>
      <c r="H8" s="13" t="s">
        <v>62</v>
      </c>
      <c r="I8" s="14" t="s">
        <v>26</v>
      </c>
      <c r="J8" s="14" t="s">
        <v>63</v>
      </c>
      <c r="K8" s="25" t="s">
        <v>64</v>
      </c>
      <c r="L8" s="16" t="s">
        <v>65</v>
      </c>
      <c r="M8" s="20" t="n">
        <v>9339219</v>
      </c>
      <c r="N8" s="17" t="s">
        <v>26</v>
      </c>
      <c r="O8" s="17" t="s">
        <v>63</v>
      </c>
      <c r="P8" s="18" t="s">
        <v>64</v>
      </c>
      <c r="Q8" s="18" t="s">
        <v>66</v>
      </c>
      <c r="R8" s="19" t="n">
        <v>9471168</v>
      </c>
      <c r="S8" s="19" t="n">
        <f aca="false">R8-M8</f>
        <v>131949</v>
      </c>
      <c r="T8" s="10"/>
      <c r="U8" s="19" t="n">
        <v>9471168</v>
      </c>
      <c r="V8" s="13" t="s">
        <v>67</v>
      </c>
      <c r="W8" s="20" t="s">
        <v>51</v>
      </c>
      <c r="X8" s="21" t="n">
        <f aca="false">$R8/4</f>
        <v>2367792</v>
      </c>
      <c r="Y8" s="21" t="n">
        <f aca="false">$R8/4</f>
        <v>2367792</v>
      </c>
      <c r="Z8" s="21" t="n">
        <f aca="false">$R8/4</f>
        <v>2367792</v>
      </c>
      <c r="AA8" s="21" t="n">
        <f aca="false">$R8/4</f>
        <v>2367792</v>
      </c>
    </row>
    <row r="9" customFormat="false" ht="165.65" hidden="false" customHeight="false" outlineLevel="0" collapsed="false">
      <c r="A9" s="10"/>
      <c r="B9" s="10"/>
      <c r="C9" s="11" t="s">
        <v>34</v>
      </c>
      <c r="D9" s="12" t="s">
        <v>68</v>
      </c>
      <c r="E9" s="10"/>
      <c r="F9" s="10" t="n">
        <v>9</v>
      </c>
      <c r="G9" s="20" t="s">
        <v>61</v>
      </c>
      <c r="H9" s="13" t="s">
        <v>62</v>
      </c>
      <c r="I9" s="14" t="s">
        <v>26</v>
      </c>
      <c r="J9" s="14" t="s">
        <v>27</v>
      </c>
      <c r="K9" s="25" t="s">
        <v>69</v>
      </c>
      <c r="L9" s="16" t="s">
        <v>70</v>
      </c>
      <c r="M9" s="20" t="n">
        <v>5000</v>
      </c>
      <c r="N9" s="17" t="s">
        <v>26</v>
      </c>
      <c r="O9" s="17" t="s">
        <v>27</v>
      </c>
      <c r="P9" s="18" t="s">
        <v>69</v>
      </c>
      <c r="Q9" s="16" t="s">
        <v>71</v>
      </c>
      <c r="R9" s="19" t="n">
        <v>10000</v>
      </c>
      <c r="S9" s="19" t="n">
        <f aca="false">R9-M9</f>
        <v>5000</v>
      </c>
      <c r="T9" s="10"/>
      <c r="U9" s="19" t="n">
        <v>10000</v>
      </c>
      <c r="V9" s="22" t="s">
        <v>72</v>
      </c>
      <c r="W9" s="20" t="s">
        <v>51</v>
      </c>
      <c r="X9" s="21" t="n">
        <f aca="false">$R9/4</f>
        <v>2500</v>
      </c>
      <c r="Y9" s="21" t="n">
        <f aca="false">$R9/4</f>
        <v>2500</v>
      </c>
      <c r="Z9" s="21" t="n">
        <f aca="false">$R9/4</f>
        <v>2500</v>
      </c>
      <c r="AA9" s="21" t="n">
        <f aca="false">$R9/4</f>
        <v>2500</v>
      </c>
    </row>
    <row r="10" customFormat="false" ht="100.7" hidden="false" customHeight="false" outlineLevel="0" collapsed="false">
      <c r="A10" s="10"/>
      <c r="B10" s="10"/>
      <c r="C10" s="11" t="s">
        <v>34</v>
      </c>
      <c r="D10" s="12" t="s">
        <v>73</v>
      </c>
      <c r="E10" s="10"/>
      <c r="F10" s="10" t="n">
        <v>25</v>
      </c>
      <c r="G10" s="20" t="s">
        <v>61</v>
      </c>
      <c r="H10" s="13" t="s">
        <v>62</v>
      </c>
      <c r="I10" s="14" t="s">
        <v>26</v>
      </c>
      <c r="J10" s="11" t="s">
        <v>74</v>
      </c>
      <c r="K10" s="25" t="s">
        <v>75</v>
      </c>
      <c r="L10" s="16" t="s">
        <v>76</v>
      </c>
      <c r="M10" s="20" t="n">
        <v>5300</v>
      </c>
      <c r="N10" s="17" t="s">
        <v>26</v>
      </c>
      <c r="O10" s="17" t="s">
        <v>74</v>
      </c>
      <c r="P10" s="18" t="s">
        <v>75</v>
      </c>
      <c r="Q10" s="18" t="s">
        <v>77</v>
      </c>
      <c r="R10" s="19" t="n">
        <v>5700</v>
      </c>
      <c r="S10" s="19" t="n">
        <f aca="false">R10-M10</f>
        <v>400</v>
      </c>
      <c r="T10" s="10"/>
      <c r="U10" s="19" t="n">
        <f aca="false">R10</f>
        <v>5700</v>
      </c>
      <c r="V10" s="12"/>
      <c r="W10" s="20" t="s">
        <v>51</v>
      </c>
      <c r="X10" s="21" t="n">
        <f aca="false">$R10/4</f>
        <v>1425</v>
      </c>
      <c r="Y10" s="21" t="n">
        <f aca="false">$R10/4</f>
        <v>1425</v>
      </c>
      <c r="Z10" s="21" t="n">
        <f aca="false">$R10/4</f>
        <v>1425</v>
      </c>
      <c r="AA10" s="21" t="n">
        <f aca="false">$R10/4</f>
        <v>1425</v>
      </c>
    </row>
    <row r="11" customFormat="false" ht="82.8" hidden="false" customHeight="false" outlineLevel="0" collapsed="false">
      <c r="A11" s="10"/>
      <c r="B11" s="10"/>
      <c r="C11" s="11" t="s">
        <v>34</v>
      </c>
      <c r="D11" s="12" t="s">
        <v>35</v>
      </c>
      <c r="E11" s="10"/>
      <c r="F11" s="10" t="n">
        <v>30</v>
      </c>
      <c r="G11" s="20" t="s">
        <v>61</v>
      </c>
      <c r="H11" s="12" t="s">
        <v>78</v>
      </c>
      <c r="I11" s="14" t="s">
        <v>26</v>
      </c>
      <c r="J11" s="10"/>
      <c r="K11" s="12"/>
      <c r="L11" s="12"/>
      <c r="M11" s="10"/>
      <c r="N11" s="14" t="s">
        <v>26</v>
      </c>
      <c r="O11" s="14" t="s">
        <v>27</v>
      </c>
      <c r="P11" s="25" t="s">
        <v>79</v>
      </c>
      <c r="Q11" s="16" t="s">
        <v>80</v>
      </c>
      <c r="R11" s="19" t="n">
        <v>120</v>
      </c>
      <c r="S11" s="19" t="n">
        <f aca="false">R11-M11</f>
        <v>120</v>
      </c>
      <c r="T11" s="19" t="s">
        <v>81</v>
      </c>
      <c r="U11" s="19" t="n">
        <v>0</v>
      </c>
      <c r="V11" s="22" t="s">
        <v>82</v>
      </c>
      <c r="W11" s="20" t="s">
        <v>51</v>
      </c>
      <c r="X11" s="21" t="n">
        <f aca="false">$R11/4</f>
        <v>30</v>
      </c>
      <c r="Y11" s="21" t="n">
        <f aca="false">$R11/4</f>
        <v>30</v>
      </c>
      <c r="Z11" s="21" t="n">
        <f aca="false">$R11/4</f>
        <v>30</v>
      </c>
      <c r="AA11" s="21" t="n">
        <f aca="false">$R11/4</f>
        <v>30</v>
      </c>
    </row>
    <row r="12" customFormat="false" ht="84.3" hidden="false" customHeight="false" outlineLevel="0" collapsed="false">
      <c r="A12" s="10"/>
      <c r="B12" s="10"/>
      <c r="C12" s="11" t="s">
        <v>34</v>
      </c>
      <c r="D12" s="12" t="s">
        <v>73</v>
      </c>
      <c r="E12" s="10"/>
      <c r="F12" s="10" t="n">
        <v>38</v>
      </c>
      <c r="G12" s="20" t="s">
        <v>61</v>
      </c>
      <c r="H12" s="13" t="s">
        <v>62</v>
      </c>
      <c r="I12" s="14" t="s">
        <v>26</v>
      </c>
      <c r="J12" s="14" t="s">
        <v>83</v>
      </c>
      <c r="K12" s="25" t="s">
        <v>84</v>
      </c>
      <c r="L12" s="16" t="s">
        <v>85</v>
      </c>
      <c r="M12" s="20" t="n">
        <v>78000</v>
      </c>
      <c r="N12" s="17" t="s">
        <v>26</v>
      </c>
      <c r="O12" s="17" t="s">
        <v>83</v>
      </c>
      <c r="P12" s="18" t="s">
        <v>84</v>
      </c>
      <c r="Q12" s="18" t="s">
        <v>85</v>
      </c>
      <c r="R12" s="19" t="n">
        <v>78000</v>
      </c>
      <c r="S12" s="19" t="n">
        <f aca="false">R12-M12</f>
        <v>0</v>
      </c>
      <c r="T12" s="10"/>
      <c r="U12" s="19" t="n">
        <f aca="false">R12</f>
        <v>78000</v>
      </c>
      <c r="V12" s="12"/>
      <c r="W12" s="20" t="s">
        <v>33</v>
      </c>
      <c r="X12" s="10"/>
      <c r="Y12" s="21" t="n">
        <v>39000</v>
      </c>
      <c r="Z12" s="21" t="n">
        <v>39000</v>
      </c>
      <c r="AA12" s="10"/>
    </row>
    <row r="13" customFormat="false" ht="82.8" hidden="false" customHeight="false" outlineLevel="0" collapsed="false">
      <c r="A13" s="10"/>
      <c r="B13" s="10"/>
      <c r="C13" s="11" t="s">
        <v>34</v>
      </c>
      <c r="D13" s="12" t="s">
        <v>73</v>
      </c>
      <c r="E13" s="10"/>
      <c r="F13" s="10" t="n">
        <v>44</v>
      </c>
      <c r="G13" s="20" t="s">
        <v>61</v>
      </c>
      <c r="H13" s="13" t="s">
        <v>62</v>
      </c>
      <c r="I13" s="14" t="s">
        <v>26</v>
      </c>
      <c r="J13" s="14" t="s">
        <v>86</v>
      </c>
      <c r="K13" s="25" t="s">
        <v>75</v>
      </c>
      <c r="L13" s="16" t="s">
        <v>87</v>
      </c>
      <c r="M13" s="20" t="n">
        <v>1440</v>
      </c>
      <c r="N13" s="17" t="s">
        <v>26</v>
      </c>
      <c r="O13" s="17" t="s">
        <v>86</v>
      </c>
      <c r="P13" s="18" t="s">
        <v>75</v>
      </c>
      <c r="Q13" s="18" t="s">
        <v>88</v>
      </c>
      <c r="R13" s="19" t="n">
        <v>1120</v>
      </c>
      <c r="S13" s="19" t="n">
        <f aca="false">R13-M13</f>
        <v>-320</v>
      </c>
      <c r="T13" s="10"/>
      <c r="U13" s="19" t="n">
        <f aca="false">R13</f>
        <v>1120</v>
      </c>
      <c r="V13" s="12"/>
      <c r="W13" s="20" t="s">
        <v>51</v>
      </c>
      <c r="X13" s="21" t="n">
        <f aca="false">$R13/4</f>
        <v>280</v>
      </c>
      <c r="Y13" s="21" t="n">
        <f aca="false">$R13/4</f>
        <v>280</v>
      </c>
      <c r="Z13" s="21" t="n">
        <f aca="false">$R13/4</f>
        <v>280</v>
      </c>
      <c r="AA13" s="21" t="n">
        <f aca="false">$R13/4</f>
        <v>280</v>
      </c>
    </row>
    <row r="14" customFormat="false" ht="123.1" hidden="false" customHeight="false" outlineLevel="0" collapsed="false">
      <c r="A14" s="10"/>
      <c r="B14" s="10"/>
      <c r="C14" s="11" t="s">
        <v>22</v>
      </c>
      <c r="D14" s="12" t="s">
        <v>89</v>
      </c>
      <c r="E14" s="10"/>
      <c r="F14" s="10" t="n">
        <v>51</v>
      </c>
      <c r="G14" s="10" t="s">
        <v>61</v>
      </c>
      <c r="H14" s="12" t="s">
        <v>90</v>
      </c>
      <c r="I14" s="14" t="s">
        <v>26</v>
      </c>
      <c r="J14" s="14" t="s">
        <v>46</v>
      </c>
      <c r="K14" s="25" t="s">
        <v>91</v>
      </c>
      <c r="L14" s="16" t="s">
        <v>92</v>
      </c>
      <c r="M14" s="20" t="n">
        <v>2600</v>
      </c>
      <c r="N14" s="17" t="s">
        <v>26</v>
      </c>
      <c r="O14" s="17" t="s">
        <v>46</v>
      </c>
      <c r="P14" s="26" t="s">
        <v>93</v>
      </c>
      <c r="Q14" s="12"/>
      <c r="R14" s="19" t="n">
        <v>1500</v>
      </c>
      <c r="S14" s="19" t="n">
        <f aca="false">R14-M14</f>
        <v>-1100</v>
      </c>
      <c r="T14" s="10"/>
      <c r="U14" s="19" t="n">
        <f aca="false">R14</f>
        <v>1500</v>
      </c>
      <c r="V14" s="12"/>
      <c r="W14" s="20" t="s">
        <v>94</v>
      </c>
      <c r="X14" s="10"/>
      <c r="Y14" s="10"/>
      <c r="Z14" s="21" t="n">
        <v>1500</v>
      </c>
      <c r="AA14" s="10"/>
    </row>
    <row r="15" customFormat="false" ht="82.8" hidden="false" customHeight="false" outlineLevel="0" collapsed="false">
      <c r="A15" s="10"/>
      <c r="B15" s="10"/>
      <c r="C15" s="11" t="s">
        <v>34</v>
      </c>
      <c r="D15" s="12" t="s">
        <v>73</v>
      </c>
      <c r="E15" s="10"/>
      <c r="F15" s="10" t="n">
        <v>53</v>
      </c>
      <c r="G15" s="20" t="s">
        <v>61</v>
      </c>
      <c r="H15" s="13" t="s">
        <v>62</v>
      </c>
      <c r="I15" s="14" t="s">
        <v>26</v>
      </c>
      <c r="J15" s="14" t="s">
        <v>86</v>
      </c>
      <c r="K15" s="25" t="s">
        <v>95</v>
      </c>
      <c r="L15" s="16" t="s">
        <v>96</v>
      </c>
      <c r="M15" s="20" t="n">
        <v>2640</v>
      </c>
      <c r="N15" s="17" t="s">
        <v>26</v>
      </c>
      <c r="O15" s="17" t="s">
        <v>86</v>
      </c>
      <c r="P15" s="18" t="s">
        <v>95</v>
      </c>
      <c r="Q15" s="18" t="s">
        <v>97</v>
      </c>
      <c r="R15" s="19" t="n">
        <v>1000</v>
      </c>
      <c r="S15" s="19" t="n">
        <f aca="false">R15-M15</f>
        <v>-1640</v>
      </c>
      <c r="T15" s="10"/>
      <c r="U15" s="19" t="n">
        <f aca="false">R15</f>
        <v>1000</v>
      </c>
      <c r="V15" s="12"/>
      <c r="W15" s="20" t="s">
        <v>51</v>
      </c>
      <c r="X15" s="21" t="n">
        <f aca="false">$R15/4</f>
        <v>250</v>
      </c>
      <c r="Y15" s="21" t="n">
        <f aca="false">$R15/4</f>
        <v>250</v>
      </c>
      <c r="Z15" s="21" t="n">
        <f aca="false">$R15/4</f>
        <v>250</v>
      </c>
      <c r="AA15" s="21" t="n">
        <f aca="false">$R15/4</f>
        <v>250</v>
      </c>
    </row>
    <row r="16" customFormat="false" ht="154.45" hidden="false" customHeight="false" outlineLevel="0" collapsed="false">
      <c r="A16" s="10"/>
      <c r="B16" s="10"/>
      <c r="C16" s="11" t="s">
        <v>34</v>
      </c>
      <c r="D16" s="12" t="s">
        <v>35</v>
      </c>
      <c r="E16" s="10"/>
      <c r="F16" s="10" t="n">
        <v>54</v>
      </c>
      <c r="G16" s="10" t="s">
        <v>61</v>
      </c>
      <c r="H16" s="12" t="s">
        <v>98</v>
      </c>
      <c r="I16" s="14" t="s">
        <v>26</v>
      </c>
      <c r="J16" s="11" t="s">
        <v>74</v>
      </c>
      <c r="K16" s="12" t="s">
        <v>99</v>
      </c>
      <c r="L16" s="27" t="s">
        <v>100</v>
      </c>
      <c r="M16" s="20" t="n">
        <v>8600</v>
      </c>
      <c r="N16" s="17" t="s">
        <v>26</v>
      </c>
      <c r="O16" s="17" t="s">
        <v>74</v>
      </c>
      <c r="P16" s="18" t="s">
        <v>101</v>
      </c>
      <c r="Q16" s="18" t="s">
        <v>102</v>
      </c>
      <c r="R16" s="19" t="n">
        <v>3840</v>
      </c>
      <c r="S16" s="19" t="n">
        <f aca="false">R16-M16</f>
        <v>-4760</v>
      </c>
      <c r="T16" s="10"/>
      <c r="U16" s="19" t="n">
        <f aca="false">R16</f>
        <v>3840</v>
      </c>
      <c r="V16" s="12"/>
      <c r="W16" s="20" t="s">
        <v>51</v>
      </c>
      <c r="X16" s="21" t="n">
        <f aca="false">$R16/4</f>
        <v>960</v>
      </c>
      <c r="Y16" s="21" t="n">
        <f aca="false">$R16/4</f>
        <v>960</v>
      </c>
      <c r="Z16" s="21" t="n">
        <f aca="false">$R16/4</f>
        <v>960</v>
      </c>
      <c r="AA16" s="21" t="n">
        <f aca="false">$R16/4</f>
        <v>960</v>
      </c>
    </row>
    <row r="17" customFormat="false" ht="97.75" hidden="false" customHeight="false" outlineLevel="0" collapsed="false">
      <c r="A17" s="10"/>
      <c r="B17" s="10"/>
      <c r="C17" s="11" t="s">
        <v>103</v>
      </c>
      <c r="D17" s="12" t="s">
        <v>104</v>
      </c>
      <c r="E17" s="10"/>
      <c r="F17" s="10" t="n">
        <v>14</v>
      </c>
      <c r="G17" s="20" t="s">
        <v>105</v>
      </c>
      <c r="H17" s="25" t="s">
        <v>106</v>
      </c>
      <c r="I17" s="24" t="s">
        <v>26</v>
      </c>
      <c r="J17" s="24" t="s">
        <v>86</v>
      </c>
      <c r="K17" s="25" t="s">
        <v>107</v>
      </c>
      <c r="L17" s="16" t="s">
        <v>108</v>
      </c>
      <c r="M17" s="20" t="n">
        <v>252</v>
      </c>
      <c r="N17" s="17" t="s">
        <v>26</v>
      </c>
      <c r="O17" s="24" t="s">
        <v>86</v>
      </c>
      <c r="P17" s="25" t="s">
        <v>107</v>
      </c>
      <c r="Q17" s="16" t="s">
        <v>109</v>
      </c>
      <c r="R17" s="19" t="n">
        <v>840</v>
      </c>
      <c r="S17" s="10"/>
      <c r="T17" s="19" t="n">
        <f aca="false">R17-M17</f>
        <v>588</v>
      </c>
      <c r="U17" s="19" t="n">
        <f aca="false">R17</f>
        <v>840</v>
      </c>
      <c r="V17" s="12"/>
      <c r="W17" s="20" t="s">
        <v>110</v>
      </c>
      <c r="X17" s="10"/>
      <c r="Y17" s="10"/>
      <c r="Z17" s="10"/>
      <c r="AA17" s="20" t="n">
        <v>840</v>
      </c>
    </row>
    <row r="18" customFormat="false" ht="109.7" hidden="false" customHeight="false" outlineLevel="0" collapsed="false">
      <c r="A18" s="10"/>
      <c r="B18" s="10"/>
      <c r="C18" s="10"/>
      <c r="D18" s="12"/>
      <c r="E18" s="10"/>
      <c r="F18" s="10" t="n">
        <v>3</v>
      </c>
      <c r="G18" s="23" t="s">
        <v>111</v>
      </c>
      <c r="H18" s="13" t="s">
        <v>112</v>
      </c>
      <c r="I18" s="14" t="s">
        <v>37</v>
      </c>
      <c r="J18" s="14" t="s">
        <v>113</v>
      </c>
      <c r="K18" s="12"/>
      <c r="L18" s="12"/>
      <c r="M18" s="10"/>
      <c r="N18" s="14" t="s">
        <v>37</v>
      </c>
      <c r="O18" s="14" t="s">
        <v>113</v>
      </c>
      <c r="P18" s="12" t="s">
        <v>114</v>
      </c>
      <c r="Q18" s="16" t="s">
        <v>115</v>
      </c>
      <c r="R18" s="17" t="n">
        <v>100000</v>
      </c>
      <c r="S18" s="10"/>
      <c r="T18" s="17" t="n">
        <v>100000</v>
      </c>
      <c r="U18" s="10"/>
      <c r="V18" s="22" t="s">
        <v>116</v>
      </c>
      <c r="W18" s="20" t="s">
        <v>51</v>
      </c>
      <c r="X18" s="10"/>
      <c r="Y18" s="10"/>
      <c r="Z18" s="10"/>
      <c r="AA18" s="20" t="n">
        <v>100000</v>
      </c>
    </row>
    <row r="19" customFormat="false" ht="109.7" hidden="false" customHeight="false" outlineLevel="0" collapsed="false">
      <c r="A19" s="10"/>
      <c r="B19" s="10"/>
      <c r="C19" s="10"/>
      <c r="D19" s="12"/>
      <c r="E19" s="10"/>
      <c r="F19" s="10" t="n">
        <v>4</v>
      </c>
      <c r="G19" s="23" t="s">
        <v>111</v>
      </c>
      <c r="H19" s="13" t="s">
        <v>112</v>
      </c>
      <c r="I19" s="14" t="s">
        <v>37</v>
      </c>
      <c r="J19" s="14" t="s">
        <v>117</v>
      </c>
      <c r="K19" s="12"/>
      <c r="L19" s="12"/>
      <c r="M19" s="10"/>
      <c r="N19" s="14" t="s">
        <v>37</v>
      </c>
      <c r="O19" s="14" t="s">
        <v>117</v>
      </c>
      <c r="P19" s="12" t="s">
        <v>118</v>
      </c>
      <c r="Q19" s="16" t="s">
        <v>119</v>
      </c>
      <c r="R19" s="17" t="n">
        <v>50000</v>
      </c>
      <c r="S19" s="10"/>
      <c r="T19" s="17" t="n">
        <v>50000</v>
      </c>
      <c r="U19" s="10"/>
      <c r="V19" s="22" t="s">
        <v>120</v>
      </c>
      <c r="W19" s="20" t="s">
        <v>33</v>
      </c>
      <c r="X19" s="10"/>
      <c r="Y19" s="10"/>
      <c r="Z19" s="20" t="n">
        <v>50000</v>
      </c>
      <c r="AA19" s="10"/>
    </row>
    <row r="20" customFormat="false" ht="96.25" hidden="false" customHeight="false" outlineLevel="0" collapsed="false">
      <c r="A20" s="10"/>
      <c r="B20" s="10"/>
      <c r="C20" s="10"/>
      <c r="D20" s="12"/>
      <c r="E20" s="10"/>
      <c r="F20" s="10" t="n">
        <v>5</v>
      </c>
      <c r="G20" s="10" t="s">
        <v>121</v>
      </c>
      <c r="H20" s="12" t="s">
        <v>122</v>
      </c>
      <c r="I20" s="24" t="s">
        <v>26</v>
      </c>
      <c r="J20" s="11" t="s">
        <v>83</v>
      </c>
      <c r="K20" s="12" t="s">
        <v>123</v>
      </c>
      <c r="L20" s="16" t="s">
        <v>124</v>
      </c>
      <c r="M20" s="20" t="n">
        <v>5000</v>
      </c>
      <c r="N20" s="17" t="s">
        <v>26</v>
      </c>
      <c r="O20" s="17" t="s">
        <v>83</v>
      </c>
      <c r="P20" s="18" t="s">
        <v>123</v>
      </c>
      <c r="Q20" s="18" t="s">
        <v>125</v>
      </c>
      <c r="R20" s="19" t="n">
        <v>11060</v>
      </c>
      <c r="S20" s="19" t="n">
        <f aca="false">R20-M20</f>
        <v>6060</v>
      </c>
      <c r="T20" s="10"/>
      <c r="U20" s="19" t="n">
        <v>11060</v>
      </c>
      <c r="V20" s="22" t="s">
        <v>126</v>
      </c>
      <c r="W20" s="20" t="s">
        <v>51</v>
      </c>
      <c r="X20" s="21" t="n">
        <v>2000</v>
      </c>
      <c r="Y20" s="21" t="n">
        <v>5060</v>
      </c>
      <c r="Z20" s="21" t="n">
        <v>2000</v>
      </c>
      <c r="AA20" s="21" t="n">
        <v>2000</v>
      </c>
    </row>
    <row r="21" customFormat="false" ht="96.25" hidden="false" customHeight="false" outlineLevel="0" collapsed="false">
      <c r="A21" s="10"/>
      <c r="B21" s="10"/>
      <c r="C21" s="10"/>
      <c r="D21" s="12"/>
      <c r="E21" s="10"/>
      <c r="F21" s="10" t="n">
        <v>7</v>
      </c>
      <c r="G21" s="10" t="s">
        <v>121</v>
      </c>
      <c r="H21" s="12" t="s">
        <v>122</v>
      </c>
      <c r="I21" s="24" t="s">
        <v>26</v>
      </c>
      <c r="J21" s="11" t="s">
        <v>86</v>
      </c>
      <c r="K21" s="12" t="s">
        <v>127</v>
      </c>
      <c r="L21" s="27" t="s">
        <v>128</v>
      </c>
      <c r="M21" s="20" t="n">
        <v>6000</v>
      </c>
      <c r="N21" s="17" t="s">
        <v>26</v>
      </c>
      <c r="O21" s="17" t="s">
        <v>86</v>
      </c>
      <c r="P21" s="18" t="s">
        <v>127</v>
      </c>
      <c r="Q21" s="18" t="s">
        <v>129</v>
      </c>
      <c r="R21" s="19" t="n">
        <v>10800</v>
      </c>
      <c r="S21" s="19" t="n">
        <f aca="false">R21-M21</f>
        <v>4800</v>
      </c>
      <c r="T21" s="10"/>
      <c r="U21" s="19" t="n">
        <v>10800</v>
      </c>
      <c r="V21" s="22" t="s">
        <v>126</v>
      </c>
      <c r="W21" s="20" t="s">
        <v>51</v>
      </c>
      <c r="X21" s="21" t="n">
        <v>0</v>
      </c>
      <c r="Y21" s="21" t="n">
        <v>1100</v>
      </c>
      <c r="Z21" s="21" t="n">
        <v>0</v>
      </c>
      <c r="AA21" s="21" t="n">
        <v>1100</v>
      </c>
    </row>
    <row r="22" customFormat="false" ht="96.25" hidden="false" customHeight="false" outlineLevel="0" collapsed="false">
      <c r="A22" s="10"/>
      <c r="B22" s="10"/>
      <c r="C22" s="10"/>
      <c r="D22" s="12"/>
      <c r="E22" s="10"/>
      <c r="F22" s="10" t="n">
        <v>27</v>
      </c>
      <c r="G22" s="10" t="s">
        <v>121</v>
      </c>
      <c r="H22" s="12" t="s">
        <v>122</v>
      </c>
      <c r="I22" s="24" t="s">
        <v>26</v>
      </c>
      <c r="J22" s="11" t="s">
        <v>55</v>
      </c>
      <c r="K22" s="12" t="s">
        <v>130</v>
      </c>
      <c r="L22" s="16" t="s">
        <v>131</v>
      </c>
      <c r="M22" s="20" t="n">
        <v>2500</v>
      </c>
      <c r="N22" s="17" t="s">
        <v>26</v>
      </c>
      <c r="O22" s="17" t="s">
        <v>55</v>
      </c>
      <c r="P22" s="18" t="s">
        <v>130</v>
      </c>
      <c r="Q22" s="18" t="s">
        <v>131</v>
      </c>
      <c r="R22" s="19" t="n">
        <v>2500</v>
      </c>
      <c r="S22" s="19" t="n">
        <f aca="false">R22-M22</f>
        <v>0</v>
      </c>
      <c r="T22" s="10"/>
      <c r="U22" s="19" t="n">
        <v>2500</v>
      </c>
      <c r="V22" s="22" t="s">
        <v>126</v>
      </c>
      <c r="W22" s="20" t="s">
        <v>51</v>
      </c>
      <c r="X22" s="21" t="n">
        <v>400</v>
      </c>
      <c r="Y22" s="21" t="n">
        <v>500</v>
      </c>
      <c r="Z22" s="21" t="n">
        <v>450</v>
      </c>
      <c r="AA22" s="21" t="n">
        <v>450</v>
      </c>
    </row>
    <row r="23" customFormat="false" ht="150.7" hidden="false" customHeight="false" outlineLevel="0" collapsed="false">
      <c r="A23" s="10"/>
      <c r="B23" s="10"/>
      <c r="C23" s="10"/>
      <c r="D23" s="12"/>
      <c r="E23" s="10"/>
      <c r="F23" s="10" t="n">
        <v>7</v>
      </c>
      <c r="G23" s="10" t="s">
        <v>132</v>
      </c>
      <c r="H23" s="12" t="s">
        <v>133</v>
      </c>
      <c r="I23" s="14" t="s">
        <v>26</v>
      </c>
      <c r="J23" s="14" t="s">
        <v>55</v>
      </c>
      <c r="K23" s="12" t="s">
        <v>134</v>
      </c>
      <c r="L23" s="16" t="s">
        <v>135</v>
      </c>
      <c r="M23" s="20" t="n">
        <v>2000</v>
      </c>
      <c r="N23" s="17" t="s">
        <v>26</v>
      </c>
      <c r="O23" s="17" t="s">
        <v>55</v>
      </c>
      <c r="P23" s="18" t="s">
        <v>134</v>
      </c>
      <c r="Q23" s="18" t="s">
        <v>136</v>
      </c>
      <c r="R23" s="19" t="n">
        <v>4000</v>
      </c>
      <c r="S23" s="19" t="n">
        <f aca="false">R23-M23</f>
        <v>2000</v>
      </c>
      <c r="T23" s="10"/>
      <c r="U23" s="19" t="n">
        <v>4000</v>
      </c>
      <c r="V23" s="13" t="s">
        <v>137</v>
      </c>
      <c r="W23" s="20" t="s">
        <v>138</v>
      </c>
      <c r="X23" s="21" t="n">
        <v>2000</v>
      </c>
      <c r="Y23" s="10"/>
      <c r="Z23" s="21" t="n">
        <v>2000</v>
      </c>
      <c r="AA23" s="10"/>
    </row>
    <row r="24" customFormat="false" ht="151.45" hidden="false" customHeight="false" outlineLevel="0" collapsed="false">
      <c r="A24" s="10"/>
      <c r="B24" s="10"/>
      <c r="C24" s="10"/>
      <c r="D24" s="12"/>
      <c r="E24" s="10"/>
      <c r="F24" s="10" t="n">
        <v>34</v>
      </c>
      <c r="G24" s="10" t="s">
        <v>132</v>
      </c>
      <c r="H24" s="12" t="s">
        <v>139</v>
      </c>
      <c r="I24" s="14" t="s">
        <v>26</v>
      </c>
      <c r="J24" s="14" t="s">
        <v>27</v>
      </c>
      <c r="K24" s="12" t="s">
        <v>140</v>
      </c>
      <c r="L24" s="16" t="s">
        <v>141</v>
      </c>
      <c r="M24" s="20" t="n">
        <v>120</v>
      </c>
      <c r="N24" s="17" t="s">
        <v>26</v>
      </c>
      <c r="O24" s="17" t="s">
        <v>27</v>
      </c>
      <c r="P24" s="18" t="s">
        <v>140</v>
      </c>
      <c r="Q24" s="18" t="s">
        <v>141</v>
      </c>
      <c r="R24" s="19" t="n">
        <v>120</v>
      </c>
      <c r="S24" s="19" t="n">
        <f aca="false">R24-M24</f>
        <v>0</v>
      </c>
      <c r="T24" s="10"/>
      <c r="U24" s="19" t="n">
        <v>120</v>
      </c>
      <c r="V24" s="12"/>
      <c r="W24" s="20" t="s">
        <v>51</v>
      </c>
      <c r="X24" s="10"/>
      <c r="Y24" s="21" t="n">
        <v>60</v>
      </c>
      <c r="Z24" s="21" t="n">
        <v>60</v>
      </c>
      <c r="AA24" s="10"/>
    </row>
    <row r="25" customFormat="false" ht="99.25" hidden="false" customHeight="false" outlineLevel="0" collapsed="false">
      <c r="A25" s="10"/>
      <c r="B25" s="10"/>
      <c r="C25" s="11" t="s">
        <v>103</v>
      </c>
      <c r="D25" s="12" t="s">
        <v>142</v>
      </c>
      <c r="E25" s="10"/>
      <c r="F25" s="10" t="n">
        <v>11</v>
      </c>
      <c r="G25" s="23" t="s">
        <v>143</v>
      </c>
      <c r="H25" s="13" t="s">
        <v>144</v>
      </c>
      <c r="I25" s="14" t="s">
        <v>30</v>
      </c>
      <c r="J25" s="24" t="s">
        <v>86</v>
      </c>
      <c r="K25" s="12" t="s">
        <v>145</v>
      </c>
      <c r="L25" s="16" t="s">
        <v>146</v>
      </c>
      <c r="M25" s="20" t="n">
        <v>7200</v>
      </c>
      <c r="N25" s="17" t="s">
        <v>30</v>
      </c>
      <c r="O25" s="17" t="s">
        <v>86</v>
      </c>
      <c r="P25" s="18" t="s">
        <v>145</v>
      </c>
      <c r="Q25" s="18" t="s">
        <v>147</v>
      </c>
      <c r="R25" s="19" t="n">
        <v>7200</v>
      </c>
      <c r="S25" s="19" t="n">
        <f aca="false">R25-M25</f>
        <v>0</v>
      </c>
      <c r="T25" s="10"/>
      <c r="U25" s="10"/>
      <c r="V25" s="12"/>
      <c r="W25" s="20" t="s">
        <v>51</v>
      </c>
      <c r="X25" s="21" t="n">
        <v>1200</v>
      </c>
      <c r="Y25" s="21" t="n">
        <v>2000</v>
      </c>
      <c r="Z25" s="21" t="n">
        <v>2000</v>
      </c>
      <c r="AA25" s="21" t="n">
        <v>2000</v>
      </c>
    </row>
    <row r="26" customFormat="false" ht="99.25" hidden="false" customHeight="false" outlineLevel="0" collapsed="false">
      <c r="A26" s="10"/>
      <c r="B26" s="10"/>
      <c r="C26" s="11" t="s">
        <v>103</v>
      </c>
      <c r="D26" s="12" t="s">
        <v>142</v>
      </c>
      <c r="E26" s="10"/>
      <c r="F26" s="10" t="n">
        <v>12</v>
      </c>
      <c r="G26" s="23" t="s">
        <v>143</v>
      </c>
      <c r="H26" s="13" t="s">
        <v>144</v>
      </c>
      <c r="I26" s="14" t="s">
        <v>30</v>
      </c>
      <c r="J26" s="24" t="s">
        <v>86</v>
      </c>
      <c r="K26" s="12" t="s">
        <v>148</v>
      </c>
      <c r="L26" s="16" t="s">
        <v>146</v>
      </c>
      <c r="M26" s="20" t="n">
        <v>4800</v>
      </c>
      <c r="N26" s="17" t="s">
        <v>30</v>
      </c>
      <c r="O26" s="17" t="s">
        <v>86</v>
      </c>
      <c r="P26" s="18" t="s">
        <v>148</v>
      </c>
      <c r="Q26" s="18" t="s">
        <v>149</v>
      </c>
      <c r="R26" s="19" t="n">
        <v>4800</v>
      </c>
      <c r="S26" s="19" t="n">
        <f aca="false">R26-M26</f>
        <v>0</v>
      </c>
      <c r="T26" s="10"/>
      <c r="U26" s="10"/>
      <c r="V26" s="12"/>
      <c r="W26" s="20" t="s">
        <v>51</v>
      </c>
      <c r="X26" s="21" t="n">
        <v>1000</v>
      </c>
      <c r="Y26" s="21" t="n">
        <v>1200</v>
      </c>
      <c r="Z26" s="21" t="n">
        <v>1600</v>
      </c>
      <c r="AA26" s="21" t="n">
        <v>1000</v>
      </c>
    </row>
    <row r="27" customFormat="false" ht="97" hidden="false" customHeight="false" outlineLevel="0" collapsed="false">
      <c r="A27" s="10"/>
      <c r="B27" s="10"/>
      <c r="C27" s="10"/>
      <c r="D27" s="12"/>
      <c r="E27" s="10"/>
      <c r="F27" s="10" t="n">
        <v>21</v>
      </c>
      <c r="G27" s="23" t="s">
        <v>143</v>
      </c>
      <c r="H27" s="13" t="s">
        <v>144</v>
      </c>
      <c r="I27" s="14" t="s">
        <v>30</v>
      </c>
      <c r="J27" s="24" t="s">
        <v>55</v>
      </c>
      <c r="K27" s="12" t="s">
        <v>150</v>
      </c>
      <c r="L27" s="16" t="s">
        <v>151</v>
      </c>
      <c r="M27" s="20" t="n">
        <v>6000</v>
      </c>
      <c r="N27" s="17" t="s">
        <v>30</v>
      </c>
      <c r="O27" s="17" t="s">
        <v>55</v>
      </c>
      <c r="P27" s="18" t="s">
        <v>150</v>
      </c>
      <c r="Q27" s="18" t="s">
        <v>151</v>
      </c>
      <c r="R27" s="19" t="n">
        <v>6000</v>
      </c>
      <c r="S27" s="19" t="n">
        <f aca="false">R27-M27</f>
        <v>0</v>
      </c>
      <c r="T27" s="10"/>
      <c r="U27" s="10"/>
      <c r="V27" s="12"/>
      <c r="W27" s="20" t="s">
        <v>152</v>
      </c>
      <c r="X27" s="10"/>
      <c r="Y27" s="21" t="n">
        <v>6000</v>
      </c>
      <c r="Z27" s="10"/>
      <c r="AA27" s="10"/>
    </row>
    <row r="28" customFormat="false" ht="83.55" hidden="false" customHeight="false" outlineLevel="0" collapsed="false">
      <c r="A28" s="10"/>
      <c r="B28" s="10"/>
      <c r="C28" s="10"/>
      <c r="D28" s="12"/>
      <c r="E28" s="10"/>
      <c r="F28" s="10" t="n">
        <v>22</v>
      </c>
      <c r="G28" s="23" t="s">
        <v>143</v>
      </c>
      <c r="H28" s="13" t="s">
        <v>144</v>
      </c>
      <c r="I28" s="14" t="s">
        <v>30</v>
      </c>
      <c r="J28" s="24" t="s">
        <v>86</v>
      </c>
      <c r="K28" s="12" t="s">
        <v>153</v>
      </c>
      <c r="L28" s="16" t="s">
        <v>154</v>
      </c>
      <c r="M28" s="20" t="n">
        <v>600</v>
      </c>
      <c r="N28" s="17" t="s">
        <v>30</v>
      </c>
      <c r="O28" s="17" t="s">
        <v>86</v>
      </c>
      <c r="P28" s="18" t="s">
        <v>153</v>
      </c>
      <c r="Q28" s="18" t="s">
        <v>155</v>
      </c>
      <c r="R28" s="19" t="n">
        <v>600</v>
      </c>
      <c r="S28" s="19" t="n">
        <f aca="false">R28-M28</f>
        <v>0</v>
      </c>
      <c r="T28" s="10"/>
      <c r="U28" s="10"/>
      <c r="V28" s="12"/>
      <c r="W28" s="20" t="s">
        <v>94</v>
      </c>
      <c r="X28" s="10"/>
      <c r="Y28" s="10"/>
      <c r="Z28" s="21" t="n">
        <v>600</v>
      </c>
      <c r="AA28" s="10"/>
    </row>
    <row r="29" customFormat="false" ht="99.25" hidden="false" customHeight="false" outlineLevel="0" collapsed="false">
      <c r="A29" s="10"/>
      <c r="B29" s="10"/>
      <c r="C29" s="11" t="s">
        <v>103</v>
      </c>
      <c r="D29" s="12" t="s">
        <v>142</v>
      </c>
      <c r="E29" s="10"/>
      <c r="F29" s="10" t="n">
        <v>23</v>
      </c>
      <c r="G29" s="23" t="s">
        <v>143</v>
      </c>
      <c r="H29" s="13" t="s">
        <v>144</v>
      </c>
      <c r="I29" s="14" t="s">
        <v>30</v>
      </c>
      <c r="J29" s="24" t="s">
        <v>86</v>
      </c>
      <c r="K29" s="12" t="s">
        <v>156</v>
      </c>
      <c r="L29" s="16" t="s">
        <v>157</v>
      </c>
      <c r="M29" s="20" t="n">
        <v>720</v>
      </c>
      <c r="N29" s="17" t="s">
        <v>30</v>
      </c>
      <c r="O29" s="17" t="s">
        <v>86</v>
      </c>
      <c r="P29" s="18" t="s">
        <v>156</v>
      </c>
      <c r="Q29" s="18" t="s">
        <v>158</v>
      </c>
      <c r="R29" s="19" t="n">
        <v>720</v>
      </c>
      <c r="S29" s="19" t="n">
        <f aca="false">R29-M29</f>
        <v>0</v>
      </c>
      <c r="T29" s="10"/>
      <c r="U29" s="10"/>
      <c r="V29" s="12"/>
      <c r="W29" s="20" t="s">
        <v>51</v>
      </c>
      <c r="X29" s="10"/>
      <c r="Y29" s="10"/>
      <c r="Z29" s="21" t="n">
        <v>720</v>
      </c>
      <c r="AA29" s="10"/>
    </row>
    <row r="30" customFormat="false" ht="96.25" hidden="false" customHeight="false" outlineLevel="0" collapsed="false">
      <c r="A30" s="10"/>
      <c r="B30" s="10"/>
      <c r="C30" s="11" t="s">
        <v>103</v>
      </c>
      <c r="D30" s="12" t="s">
        <v>159</v>
      </c>
      <c r="E30" s="10"/>
      <c r="F30" s="10" t="n">
        <v>45</v>
      </c>
      <c r="G30" s="23" t="s">
        <v>143</v>
      </c>
      <c r="H30" s="12" t="s">
        <v>160</v>
      </c>
      <c r="I30" s="24" t="s">
        <v>30</v>
      </c>
      <c r="J30" s="11" t="s">
        <v>74</v>
      </c>
      <c r="K30" s="12" t="s">
        <v>161</v>
      </c>
      <c r="L30" s="16" t="s">
        <v>162</v>
      </c>
      <c r="M30" s="20" t="n">
        <v>5040</v>
      </c>
      <c r="N30" s="17" t="s">
        <v>30</v>
      </c>
      <c r="O30" s="17" t="s">
        <v>74</v>
      </c>
      <c r="P30" s="12" t="s">
        <v>161</v>
      </c>
      <c r="Q30" s="16" t="s">
        <v>163</v>
      </c>
      <c r="R30" s="19" t="n">
        <v>5040</v>
      </c>
      <c r="S30" s="19" t="n">
        <f aca="false">R30-M30</f>
        <v>0</v>
      </c>
      <c r="T30" s="10"/>
      <c r="U30" s="10"/>
      <c r="V30" s="12"/>
      <c r="W30" s="20" t="s">
        <v>51</v>
      </c>
      <c r="X30" s="21" t="n">
        <v>1260</v>
      </c>
      <c r="Y30" s="21" t="n">
        <v>1260</v>
      </c>
      <c r="Z30" s="21" t="n">
        <v>1260</v>
      </c>
      <c r="AA30" s="21" t="n">
        <v>1260</v>
      </c>
    </row>
    <row r="31" customFormat="false" ht="83.55" hidden="false" customHeight="false" outlineLevel="0" collapsed="false">
      <c r="A31" s="10"/>
      <c r="B31" s="10"/>
      <c r="C31" s="11" t="s">
        <v>103</v>
      </c>
      <c r="D31" s="12" t="s">
        <v>159</v>
      </c>
      <c r="E31" s="10"/>
      <c r="F31" s="10" t="n">
        <v>46</v>
      </c>
      <c r="G31" s="23" t="s">
        <v>143</v>
      </c>
      <c r="H31" s="12" t="s">
        <v>160</v>
      </c>
      <c r="I31" s="24" t="s">
        <v>30</v>
      </c>
      <c r="J31" s="24" t="s">
        <v>86</v>
      </c>
      <c r="K31" s="12" t="s">
        <v>164</v>
      </c>
      <c r="L31" s="16" t="s">
        <v>165</v>
      </c>
      <c r="M31" s="20" t="n">
        <v>1200</v>
      </c>
      <c r="N31" s="17" t="s">
        <v>30</v>
      </c>
      <c r="O31" s="17" t="s">
        <v>86</v>
      </c>
      <c r="P31" s="12" t="s">
        <v>164</v>
      </c>
      <c r="Q31" s="16" t="s">
        <v>166</v>
      </c>
      <c r="R31" s="19" t="n">
        <v>1710</v>
      </c>
      <c r="S31" s="19" t="n">
        <f aca="false">R31-M31</f>
        <v>510</v>
      </c>
      <c r="T31" s="10"/>
      <c r="U31" s="10"/>
      <c r="V31" s="12"/>
      <c r="W31" s="20" t="s">
        <v>51</v>
      </c>
      <c r="X31" s="21" t="n">
        <v>400</v>
      </c>
      <c r="Y31" s="21" t="n">
        <v>455</v>
      </c>
      <c r="Z31" s="21" t="n">
        <v>455</v>
      </c>
      <c r="AA31" s="21" t="n">
        <v>400</v>
      </c>
    </row>
    <row r="32" customFormat="false" ht="110.4" hidden="false" customHeight="false" outlineLevel="0" collapsed="false">
      <c r="A32" s="10"/>
      <c r="B32" s="10"/>
      <c r="C32" s="11" t="s">
        <v>103</v>
      </c>
      <c r="D32" s="12" t="s">
        <v>142</v>
      </c>
      <c r="E32" s="10"/>
      <c r="F32" s="10" t="n">
        <v>47</v>
      </c>
      <c r="G32" s="23" t="s">
        <v>143</v>
      </c>
      <c r="H32" s="12" t="s">
        <v>160</v>
      </c>
      <c r="I32" s="24" t="s">
        <v>30</v>
      </c>
      <c r="J32" s="11" t="s">
        <v>74</v>
      </c>
      <c r="K32" s="12" t="s">
        <v>167</v>
      </c>
      <c r="L32" s="16" t="s">
        <v>168</v>
      </c>
      <c r="M32" s="20" t="n">
        <v>2520</v>
      </c>
      <c r="N32" s="17" t="s">
        <v>30</v>
      </c>
      <c r="O32" s="17" t="s">
        <v>74</v>
      </c>
      <c r="P32" s="12" t="s">
        <v>167</v>
      </c>
      <c r="Q32" s="16" t="s">
        <v>169</v>
      </c>
      <c r="R32" s="19" t="n">
        <v>2520</v>
      </c>
      <c r="S32" s="19" t="n">
        <f aca="false">R32-M32</f>
        <v>0</v>
      </c>
      <c r="T32" s="10"/>
      <c r="U32" s="10"/>
      <c r="V32" s="12"/>
      <c r="W32" s="20" t="s">
        <v>51</v>
      </c>
      <c r="X32" s="21" t="n">
        <v>630</v>
      </c>
      <c r="Y32" s="21" t="n">
        <v>630</v>
      </c>
      <c r="Z32" s="21" t="n">
        <v>630</v>
      </c>
      <c r="AA32" s="21" t="n">
        <v>630</v>
      </c>
    </row>
    <row r="33" customFormat="false" ht="123.1" hidden="false" customHeight="false" outlineLevel="0" collapsed="false">
      <c r="A33" s="10"/>
      <c r="B33" s="10"/>
      <c r="C33" s="11" t="s">
        <v>103</v>
      </c>
      <c r="D33" s="12" t="s">
        <v>170</v>
      </c>
      <c r="E33" s="10"/>
      <c r="F33" s="10" t="n">
        <v>48</v>
      </c>
      <c r="G33" s="23" t="s">
        <v>143</v>
      </c>
      <c r="H33" s="12" t="s">
        <v>160</v>
      </c>
      <c r="I33" s="24" t="s">
        <v>30</v>
      </c>
      <c r="J33" s="24" t="s">
        <v>86</v>
      </c>
      <c r="K33" s="12" t="s">
        <v>171</v>
      </c>
      <c r="L33" s="16" t="s">
        <v>172</v>
      </c>
      <c r="M33" s="20" t="n">
        <v>1440</v>
      </c>
      <c r="N33" s="17" t="s">
        <v>30</v>
      </c>
      <c r="O33" s="17" t="s">
        <v>86</v>
      </c>
      <c r="P33" s="12" t="s">
        <v>171</v>
      </c>
      <c r="Q33" s="16" t="s">
        <v>173</v>
      </c>
      <c r="R33" s="19" t="n">
        <v>1440</v>
      </c>
      <c r="S33" s="19" t="n">
        <f aca="false">R33-M33</f>
        <v>0</v>
      </c>
      <c r="T33" s="10"/>
      <c r="U33" s="10"/>
      <c r="V33" s="12"/>
      <c r="W33" s="20" t="s">
        <v>51</v>
      </c>
      <c r="X33" s="21" t="n">
        <v>360</v>
      </c>
      <c r="Y33" s="21" t="n">
        <v>360</v>
      </c>
      <c r="Z33" s="21" t="n">
        <v>360</v>
      </c>
      <c r="AA33" s="21" t="n">
        <v>360</v>
      </c>
    </row>
    <row r="34" customFormat="false" ht="83.55" hidden="false" customHeight="false" outlineLevel="0" collapsed="false">
      <c r="A34" s="10"/>
      <c r="B34" s="10"/>
      <c r="C34" s="11" t="s">
        <v>103</v>
      </c>
      <c r="D34" s="12" t="s">
        <v>170</v>
      </c>
      <c r="E34" s="10"/>
      <c r="F34" s="10" t="n">
        <v>49</v>
      </c>
      <c r="G34" s="23" t="s">
        <v>143</v>
      </c>
      <c r="H34" s="12" t="s">
        <v>160</v>
      </c>
      <c r="I34" s="24" t="s">
        <v>30</v>
      </c>
      <c r="J34" s="24" t="s">
        <v>27</v>
      </c>
      <c r="K34" s="12" t="s">
        <v>174</v>
      </c>
      <c r="L34" s="16" t="s">
        <v>175</v>
      </c>
      <c r="M34" s="20" t="n">
        <v>360</v>
      </c>
      <c r="N34" s="17" t="s">
        <v>30</v>
      </c>
      <c r="O34" s="17" t="s">
        <v>176</v>
      </c>
      <c r="P34" s="12" t="s">
        <v>174</v>
      </c>
      <c r="Q34" s="16" t="s">
        <v>177</v>
      </c>
      <c r="R34" s="19" t="n">
        <v>600</v>
      </c>
      <c r="S34" s="19" t="n">
        <f aca="false">R34-M34</f>
        <v>240</v>
      </c>
      <c r="T34" s="10"/>
      <c r="U34" s="10"/>
      <c r="V34" s="12"/>
      <c r="W34" s="20" t="s">
        <v>51</v>
      </c>
      <c r="X34" s="10"/>
      <c r="Y34" s="21" t="n">
        <v>300</v>
      </c>
      <c r="Z34" s="10"/>
      <c r="AA34" s="21" t="n">
        <v>300</v>
      </c>
    </row>
    <row r="35" customFormat="false" ht="99.25" hidden="false" customHeight="false" outlineLevel="0" collapsed="false">
      <c r="A35" s="10"/>
      <c r="B35" s="10"/>
      <c r="C35" s="11" t="s">
        <v>103</v>
      </c>
      <c r="D35" s="12" t="s">
        <v>142</v>
      </c>
      <c r="E35" s="10"/>
      <c r="F35" s="10" t="n">
        <v>54</v>
      </c>
      <c r="G35" s="23" t="s">
        <v>143</v>
      </c>
      <c r="H35" s="13" t="s">
        <v>178</v>
      </c>
      <c r="I35" s="14" t="s">
        <v>30</v>
      </c>
      <c r="J35" s="14" t="s">
        <v>86</v>
      </c>
      <c r="K35" s="12" t="s">
        <v>179</v>
      </c>
      <c r="L35" s="16" t="s">
        <v>180</v>
      </c>
      <c r="M35" s="20" t="n">
        <v>480</v>
      </c>
      <c r="N35" s="24" t="s">
        <v>30</v>
      </c>
      <c r="O35" s="24" t="s">
        <v>86</v>
      </c>
      <c r="P35" s="12" t="s">
        <v>179</v>
      </c>
      <c r="Q35" s="16" t="s">
        <v>181</v>
      </c>
      <c r="R35" s="20" t="n">
        <v>480</v>
      </c>
      <c r="S35" s="19" t="n">
        <f aca="false">R35-M35</f>
        <v>0</v>
      </c>
      <c r="T35" s="10"/>
      <c r="U35" s="10"/>
      <c r="V35" s="12"/>
      <c r="W35" s="20" t="s">
        <v>51</v>
      </c>
      <c r="X35" s="10"/>
      <c r="Y35" s="20" t="n">
        <v>60</v>
      </c>
      <c r="Z35" s="20" t="n">
        <v>60</v>
      </c>
      <c r="AA35" s="10"/>
    </row>
    <row r="36" customFormat="false" ht="82.8" hidden="false" customHeight="false" outlineLevel="0" collapsed="false">
      <c r="A36" s="10"/>
      <c r="B36" s="10"/>
      <c r="C36" s="11" t="s">
        <v>182</v>
      </c>
      <c r="D36" s="12" t="s">
        <v>183</v>
      </c>
      <c r="E36" s="10"/>
      <c r="F36" s="10" t="n">
        <v>63</v>
      </c>
      <c r="G36" s="23" t="s">
        <v>143</v>
      </c>
      <c r="H36" s="13" t="s">
        <v>184</v>
      </c>
      <c r="I36" s="14" t="s">
        <v>30</v>
      </c>
      <c r="J36" s="14" t="s">
        <v>86</v>
      </c>
      <c r="K36" s="12" t="s">
        <v>185</v>
      </c>
      <c r="L36" s="16" t="s">
        <v>186</v>
      </c>
      <c r="M36" s="20" t="n">
        <v>560</v>
      </c>
      <c r="N36" s="14" t="s">
        <v>30</v>
      </c>
      <c r="O36" s="14" t="s">
        <v>86</v>
      </c>
      <c r="P36" s="12" t="s">
        <v>185</v>
      </c>
      <c r="Q36" s="16" t="s">
        <v>187</v>
      </c>
      <c r="R36" s="19" t="n">
        <v>560</v>
      </c>
      <c r="S36" s="19" t="n">
        <f aca="false">R36-M36</f>
        <v>0</v>
      </c>
      <c r="T36" s="10"/>
      <c r="U36" s="10"/>
      <c r="V36" s="12"/>
      <c r="W36" s="20" t="s">
        <v>51</v>
      </c>
      <c r="X36" s="20" t="n">
        <v>38</v>
      </c>
      <c r="Y36" s="20" t="n">
        <v>37</v>
      </c>
      <c r="Z36" s="20" t="n">
        <v>38</v>
      </c>
      <c r="AA36" s="20" t="n">
        <v>37</v>
      </c>
    </row>
    <row r="37" customFormat="false" ht="129.1" hidden="false" customHeight="false" outlineLevel="0" collapsed="false">
      <c r="A37" s="10"/>
      <c r="B37" s="10"/>
      <c r="C37" s="11" t="s">
        <v>182</v>
      </c>
      <c r="D37" s="12" t="s">
        <v>183</v>
      </c>
      <c r="E37" s="10"/>
      <c r="F37" s="10" t="n">
        <v>66</v>
      </c>
      <c r="G37" s="23" t="s">
        <v>143</v>
      </c>
      <c r="H37" s="13" t="s">
        <v>184</v>
      </c>
      <c r="I37" s="14" t="s">
        <v>30</v>
      </c>
      <c r="J37" s="11" t="s">
        <v>74</v>
      </c>
      <c r="K37" s="12" t="s">
        <v>188</v>
      </c>
      <c r="L37" s="16" t="s">
        <v>189</v>
      </c>
      <c r="M37" s="20" t="n">
        <v>700</v>
      </c>
      <c r="N37" s="14" t="s">
        <v>30</v>
      </c>
      <c r="O37" s="11" t="s">
        <v>74</v>
      </c>
      <c r="P37" s="12" t="s">
        <v>188</v>
      </c>
      <c r="Q37" s="16" t="s">
        <v>189</v>
      </c>
      <c r="R37" s="19" t="n">
        <v>700</v>
      </c>
      <c r="S37" s="19" t="n">
        <f aca="false">R37-M37</f>
        <v>0</v>
      </c>
      <c r="T37" s="10"/>
      <c r="U37" s="10"/>
      <c r="V37" s="12"/>
      <c r="W37" s="20" t="s">
        <v>51</v>
      </c>
      <c r="X37" s="20" t="n">
        <v>175</v>
      </c>
      <c r="Y37" s="20" t="n">
        <v>175</v>
      </c>
      <c r="Z37" s="20" t="n">
        <v>175</v>
      </c>
      <c r="AA37" s="20" t="n">
        <v>175</v>
      </c>
    </row>
    <row r="38" customFormat="false" ht="97.75" hidden="false" customHeight="false" outlineLevel="0" collapsed="false">
      <c r="A38" s="10"/>
      <c r="B38" s="10"/>
      <c r="C38" s="11" t="s">
        <v>22</v>
      </c>
      <c r="D38" s="12" t="s">
        <v>89</v>
      </c>
      <c r="E38" s="10"/>
      <c r="F38" s="10" t="n">
        <v>82</v>
      </c>
      <c r="G38" s="23" t="s">
        <v>143</v>
      </c>
      <c r="H38" s="13" t="s">
        <v>190</v>
      </c>
      <c r="I38" s="14" t="s">
        <v>30</v>
      </c>
      <c r="J38" s="14" t="s">
        <v>46</v>
      </c>
      <c r="K38" s="12" t="s">
        <v>191</v>
      </c>
      <c r="L38" s="16" t="s">
        <v>192</v>
      </c>
      <c r="M38" s="20" t="n">
        <v>4000</v>
      </c>
      <c r="N38" s="14" t="s">
        <v>30</v>
      </c>
      <c r="O38" s="14" t="s">
        <v>46</v>
      </c>
      <c r="P38" s="12" t="s">
        <v>191</v>
      </c>
      <c r="Q38" s="16" t="s">
        <v>193</v>
      </c>
      <c r="R38" s="19" t="n">
        <v>2000</v>
      </c>
      <c r="S38" s="19" t="n">
        <f aca="false">R38-M38</f>
        <v>-2000</v>
      </c>
      <c r="T38" s="10"/>
      <c r="U38" s="10"/>
      <c r="V38" s="12"/>
      <c r="W38" s="20" t="s">
        <v>51</v>
      </c>
      <c r="X38" s="21" t="n">
        <v>1000</v>
      </c>
      <c r="Y38" s="21" t="n">
        <v>1000</v>
      </c>
      <c r="Z38" s="21" t="n">
        <v>1000</v>
      </c>
      <c r="AA38" s="21" t="n">
        <v>1000</v>
      </c>
    </row>
    <row r="39" customFormat="false" ht="97.75" hidden="false" customHeight="false" outlineLevel="0" collapsed="false">
      <c r="A39" s="10"/>
      <c r="B39" s="10"/>
      <c r="C39" s="11" t="s">
        <v>22</v>
      </c>
      <c r="D39" s="12" t="s">
        <v>89</v>
      </c>
      <c r="E39" s="10"/>
      <c r="F39" s="10" t="n">
        <v>83</v>
      </c>
      <c r="G39" s="23" t="s">
        <v>143</v>
      </c>
      <c r="H39" s="13" t="s">
        <v>190</v>
      </c>
      <c r="I39" s="14" t="s">
        <v>30</v>
      </c>
      <c r="J39" s="14" t="s">
        <v>86</v>
      </c>
      <c r="K39" s="12" t="s">
        <v>194</v>
      </c>
      <c r="L39" s="16" t="s">
        <v>195</v>
      </c>
      <c r="M39" s="20" t="n">
        <v>800</v>
      </c>
      <c r="N39" s="14" t="s">
        <v>30</v>
      </c>
      <c r="O39" s="14" t="s">
        <v>86</v>
      </c>
      <c r="P39" s="12" t="s">
        <v>194</v>
      </c>
      <c r="Q39" s="16" t="s">
        <v>195</v>
      </c>
      <c r="R39" s="19" t="n">
        <v>800</v>
      </c>
      <c r="S39" s="19" t="n">
        <f aca="false">R39-M39</f>
        <v>0</v>
      </c>
      <c r="T39" s="10"/>
      <c r="U39" s="10"/>
      <c r="V39" s="12"/>
      <c r="W39" s="20" t="s">
        <v>51</v>
      </c>
      <c r="X39" s="21" t="n">
        <v>200</v>
      </c>
      <c r="Y39" s="21" t="n">
        <v>200</v>
      </c>
      <c r="Z39" s="21" t="n">
        <v>200</v>
      </c>
      <c r="AA39" s="21" t="n">
        <v>200</v>
      </c>
    </row>
    <row r="40" customFormat="false" ht="97.75" hidden="false" customHeight="false" outlineLevel="0" collapsed="false">
      <c r="A40" s="10"/>
      <c r="B40" s="10"/>
      <c r="C40" s="11" t="s">
        <v>103</v>
      </c>
      <c r="D40" s="12" t="s">
        <v>104</v>
      </c>
      <c r="E40" s="10"/>
      <c r="F40" s="10" t="n">
        <v>92</v>
      </c>
      <c r="G40" s="23" t="s">
        <v>143</v>
      </c>
      <c r="H40" s="13" t="s">
        <v>196</v>
      </c>
      <c r="I40" s="14" t="s">
        <v>30</v>
      </c>
      <c r="J40" s="14" t="s">
        <v>197</v>
      </c>
      <c r="K40" s="12" t="s">
        <v>198</v>
      </c>
      <c r="L40" s="16" t="s">
        <v>199</v>
      </c>
      <c r="M40" s="20" t="n">
        <v>670108</v>
      </c>
      <c r="N40" s="24" t="s">
        <v>30</v>
      </c>
      <c r="O40" s="24" t="s">
        <v>197</v>
      </c>
      <c r="P40" s="12" t="s">
        <v>198</v>
      </c>
      <c r="Q40" s="18" t="s">
        <v>200</v>
      </c>
      <c r="R40" s="17" t="n">
        <v>670108</v>
      </c>
      <c r="S40" s="19" t="n">
        <f aca="false">R40-M40</f>
        <v>0</v>
      </c>
      <c r="T40" s="10"/>
      <c r="U40" s="10"/>
      <c r="V40" s="12"/>
      <c r="W40" s="20" t="s">
        <v>51</v>
      </c>
      <c r="X40" s="17" t="n">
        <v>167527</v>
      </c>
      <c r="Y40" s="17" t="n">
        <v>167527</v>
      </c>
      <c r="Z40" s="17" t="n">
        <v>167527</v>
      </c>
      <c r="AA40" s="17" t="n">
        <v>167527</v>
      </c>
    </row>
    <row r="41" customFormat="false" ht="85.05" hidden="false" customHeight="false" outlineLevel="0" collapsed="false">
      <c r="A41" s="10"/>
      <c r="B41" s="10"/>
      <c r="C41" s="11" t="s">
        <v>59</v>
      </c>
      <c r="D41" s="12" t="s">
        <v>201</v>
      </c>
      <c r="E41" s="10"/>
      <c r="F41" s="10" t="n">
        <v>97</v>
      </c>
      <c r="G41" s="23" t="s">
        <v>143</v>
      </c>
      <c r="H41" s="13" t="s">
        <v>196</v>
      </c>
      <c r="I41" s="14" t="s">
        <v>26</v>
      </c>
      <c r="J41" s="14" t="s">
        <v>202</v>
      </c>
      <c r="K41" s="12" t="s">
        <v>203</v>
      </c>
      <c r="L41" s="16" t="s">
        <v>204</v>
      </c>
      <c r="M41" s="20" t="n">
        <v>63084</v>
      </c>
      <c r="N41" s="24" t="s">
        <v>30</v>
      </c>
      <c r="O41" s="24" t="s">
        <v>202</v>
      </c>
      <c r="P41" s="12" t="s">
        <v>205</v>
      </c>
      <c r="Q41" s="18" t="s">
        <v>206</v>
      </c>
      <c r="R41" s="19" t="n">
        <v>98084</v>
      </c>
      <c r="S41" s="19" t="n">
        <f aca="false">R41-M41</f>
        <v>35000</v>
      </c>
      <c r="T41" s="10"/>
      <c r="U41" s="10"/>
      <c r="V41" s="12"/>
      <c r="W41" s="20" t="s">
        <v>51</v>
      </c>
      <c r="X41" s="21" t="n">
        <v>24521</v>
      </c>
      <c r="Y41" s="21" t="n">
        <v>24521</v>
      </c>
      <c r="Z41" s="21" t="n">
        <v>24521</v>
      </c>
      <c r="AA41" s="21" t="n">
        <v>24521</v>
      </c>
    </row>
    <row r="42" customFormat="false" ht="97.75" hidden="false" customHeight="false" outlineLevel="0" collapsed="false">
      <c r="A42" s="10"/>
      <c r="B42" s="10"/>
      <c r="C42" s="11" t="s">
        <v>103</v>
      </c>
      <c r="D42" s="12" t="s">
        <v>104</v>
      </c>
      <c r="E42" s="10"/>
      <c r="F42" s="10" t="n">
        <v>98</v>
      </c>
      <c r="G42" s="23" t="s">
        <v>143</v>
      </c>
      <c r="H42" s="13" t="s">
        <v>196</v>
      </c>
      <c r="I42" s="14" t="s">
        <v>30</v>
      </c>
      <c r="J42" s="14" t="s">
        <v>207</v>
      </c>
      <c r="K42" s="12" t="s">
        <v>208</v>
      </c>
      <c r="L42" s="16" t="s">
        <v>209</v>
      </c>
      <c r="M42" s="20" t="n">
        <v>18000</v>
      </c>
      <c r="N42" s="24" t="s">
        <v>30</v>
      </c>
      <c r="O42" s="24" t="s">
        <v>207</v>
      </c>
      <c r="P42" s="12" t="s">
        <v>208</v>
      </c>
      <c r="Q42" s="18" t="s">
        <v>210</v>
      </c>
      <c r="R42" s="19" t="n">
        <v>18000</v>
      </c>
      <c r="S42" s="19" t="n">
        <f aca="false">R42-M42</f>
        <v>0</v>
      </c>
      <c r="T42" s="10"/>
      <c r="U42" s="10"/>
      <c r="V42" s="12"/>
      <c r="W42" s="20" t="s">
        <v>51</v>
      </c>
      <c r="X42" s="17" t="n">
        <v>4500</v>
      </c>
      <c r="Y42" s="17" t="n">
        <v>4500</v>
      </c>
      <c r="Z42" s="17" t="n">
        <v>4500</v>
      </c>
      <c r="AA42" s="17" t="n">
        <v>4500</v>
      </c>
    </row>
    <row r="43" customFormat="false" ht="83.55" hidden="false" customHeight="false" outlineLevel="0" collapsed="false">
      <c r="A43" s="10"/>
      <c r="B43" s="10"/>
      <c r="C43" s="10"/>
      <c r="D43" s="12"/>
      <c r="E43" s="10"/>
      <c r="F43" s="10" t="n">
        <v>112</v>
      </c>
      <c r="G43" s="23" t="s">
        <v>143</v>
      </c>
      <c r="H43" s="12" t="s">
        <v>211</v>
      </c>
      <c r="I43" s="28" t="s">
        <v>30</v>
      </c>
      <c r="J43" s="29" t="s">
        <v>55</v>
      </c>
      <c r="K43" s="12" t="s">
        <v>212</v>
      </c>
      <c r="L43" s="16" t="s">
        <v>213</v>
      </c>
      <c r="M43" s="20" t="n">
        <v>7000</v>
      </c>
      <c r="N43" s="28" t="s">
        <v>30</v>
      </c>
      <c r="O43" s="29" t="s">
        <v>55</v>
      </c>
      <c r="P43" s="12" t="s">
        <v>212</v>
      </c>
      <c r="Q43" s="16" t="s">
        <v>213</v>
      </c>
      <c r="R43" s="20" t="n">
        <v>7000</v>
      </c>
      <c r="S43" s="19" t="n">
        <f aca="false">R43-M43</f>
        <v>0</v>
      </c>
      <c r="T43" s="10"/>
      <c r="U43" s="10"/>
      <c r="V43" s="12"/>
      <c r="W43" s="20" t="s">
        <v>138</v>
      </c>
      <c r="X43" s="17" t="n">
        <v>7000</v>
      </c>
      <c r="Y43" s="17" t="n">
        <v>0</v>
      </c>
      <c r="Z43" s="17" t="n">
        <v>0</v>
      </c>
      <c r="AA43" s="17" t="n">
        <v>0</v>
      </c>
    </row>
    <row r="44" customFormat="false" ht="110.4" hidden="false" customHeight="false" outlineLevel="0" collapsed="false">
      <c r="A44" s="10"/>
      <c r="B44" s="10"/>
      <c r="C44" s="11" t="s">
        <v>59</v>
      </c>
      <c r="D44" s="12" t="s">
        <v>201</v>
      </c>
      <c r="E44" s="10"/>
      <c r="F44" s="10" t="n">
        <v>129</v>
      </c>
      <c r="G44" s="23" t="s">
        <v>143</v>
      </c>
      <c r="H44" s="12" t="s">
        <v>214</v>
      </c>
      <c r="I44" s="11" t="s">
        <v>26</v>
      </c>
      <c r="J44" s="11" t="s">
        <v>202</v>
      </c>
      <c r="K44" s="12" t="s">
        <v>215</v>
      </c>
      <c r="L44" s="12" t="s">
        <v>216</v>
      </c>
      <c r="M44" s="21" t="n">
        <f aca="false">100*6*35</f>
        <v>21000</v>
      </c>
      <c r="N44" s="11" t="s">
        <v>26</v>
      </c>
      <c r="O44" s="11" t="s">
        <v>202</v>
      </c>
      <c r="P44" s="12" t="s">
        <v>215</v>
      </c>
      <c r="Q44" s="12" t="s">
        <v>216</v>
      </c>
      <c r="R44" s="19" t="n">
        <v>21000</v>
      </c>
      <c r="S44" s="19" t="n">
        <f aca="false">R44-M44</f>
        <v>0</v>
      </c>
      <c r="T44" s="10"/>
      <c r="U44" s="10"/>
      <c r="V44" s="12"/>
      <c r="W44" s="20" t="s">
        <v>51</v>
      </c>
      <c r="X44" s="17" t="n">
        <v>5250</v>
      </c>
      <c r="Y44" s="17" t="n">
        <v>5250</v>
      </c>
      <c r="Z44" s="17" t="n">
        <v>5250</v>
      </c>
      <c r="AA44" s="17" t="n">
        <v>5250</v>
      </c>
    </row>
    <row r="45" customFormat="false" ht="150.7" hidden="false" customHeight="false" outlineLevel="0" collapsed="false">
      <c r="A45" s="10"/>
      <c r="B45" s="10"/>
      <c r="C45" s="11" t="s">
        <v>59</v>
      </c>
      <c r="D45" s="12" t="s">
        <v>201</v>
      </c>
      <c r="E45" s="10"/>
      <c r="F45" s="10" t="n">
        <v>3</v>
      </c>
      <c r="G45" s="30" t="s">
        <v>217</v>
      </c>
      <c r="H45" s="16" t="s">
        <v>218</v>
      </c>
      <c r="I45" s="29" t="s">
        <v>26</v>
      </c>
      <c r="J45" s="29" t="s">
        <v>219</v>
      </c>
      <c r="K45" s="16" t="s">
        <v>220</v>
      </c>
      <c r="L45" s="16" t="s">
        <v>221</v>
      </c>
      <c r="M45" s="20" t="n">
        <v>763680</v>
      </c>
      <c r="N45" s="29" t="s">
        <v>26</v>
      </c>
      <c r="O45" s="29" t="s">
        <v>219</v>
      </c>
      <c r="P45" s="16" t="s">
        <v>220</v>
      </c>
      <c r="Q45" s="16" t="s">
        <v>222</v>
      </c>
      <c r="R45" s="19" t="n">
        <v>1589280</v>
      </c>
      <c r="S45" s="10"/>
      <c r="T45" s="19" t="n">
        <f aca="false">R45-M45</f>
        <v>825600</v>
      </c>
      <c r="U45" s="19" t="n">
        <v>763680</v>
      </c>
      <c r="V45" s="13" t="s">
        <v>223</v>
      </c>
      <c r="W45" s="20" t="s">
        <v>51</v>
      </c>
      <c r="X45" s="20" t="n">
        <v>397320</v>
      </c>
      <c r="Y45" s="20" t="n">
        <v>397320</v>
      </c>
      <c r="Z45" s="20" t="n">
        <v>397320</v>
      </c>
      <c r="AA45" s="20" t="n">
        <v>397320</v>
      </c>
    </row>
    <row r="46" customFormat="false" ht="82.8" hidden="false" customHeight="false" outlineLevel="0" collapsed="false">
      <c r="A46" s="10"/>
      <c r="B46" s="10"/>
      <c r="C46" s="10"/>
      <c r="D46" s="12"/>
      <c r="E46" s="10"/>
      <c r="F46" s="10" t="n">
        <v>6</v>
      </c>
      <c r="G46" s="30" t="s">
        <v>217</v>
      </c>
      <c r="H46" s="16" t="s">
        <v>224</v>
      </c>
      <c r="I46" s="29" t="s">
        <v>26</v>
      </c>
      <c r="J46" s="29" t="s">
        <v>225</v>
      </c>
      <c r="K46" s="31" t="s">
        <v>226</v>
      </c>
      <c r="L46" s="16" t="s">
        <v>227</v>
      </c>
      <c r="M46" s="20" t="n">
        <v>470000</v>
      </c>
      <c r="N46" s="17" t="s">
        <v>26</v>
      </c>
      <c r="O46" s="17" t="s">
        <v>225</v>
      </c>
      <c r="P46" s="26" t="s">
        <v>226</v>
      </c>
      <c r="Q46" s="18" t="s">
        <v>228</v>
      </c>
      <c r="R46" s="19" t="n">
        <v>525000</v>
      </c>
      <c r="S46" s="10"/>
      <c r="T46" s="19" t="n">
        <f aca="false">R46-M46</f>
        <v>55000</v>
      </c>
      <c r="U46" s="19" t="n">
        <f aca="false">R46</f>
        <v>525000</v>
      </c>
      <c r="V46" s="12"/>
      <c r="W46" s="20" t="s">
        <v>51</v>
      </c>
      <c r="X46" s="10"/>
      <c r="Y46" s="21" t="n">
        <v>262500</v>
      </c>
      <c r="Z46" s="10"/>
      <c r="AA46" s="21" t="n">
        <v>262500</v>
      </c>
    </row>
    <row r="47" customFormat="false" ht="114.15" hidden="false" customHeight="false" outlineLevel="0" collapsed="false">
      <c r="A47" s="10"/>
      <c r="B47" s="10"/>
      <c r="C47" s="11" t="s">
        <v>103</v>
      </c>
      <c r="D47" s="12" t="s">
        <v>229</v>
      </c>
      <c r="E47" s="10"/>
      <c r="F47" s="10" t="n">
        <v>7</v>
      </c>
      <c r="G47" s="30" t="s">
        <v>217</v>
      </c>
      <c r="H47" s="16" t="s">
        <v>218</v>
      </c>
      <c r="I47" s="29" t="s">
        <v>30</v>
      </c>
      <c r="J47" s="29" t="s">
        <v>230</v>
      </c>
      <c r="K47" s="16" t="s">
        <v>231</v>
      </c>
      <c r="L47" s="16" t="s">
        <v>232</v>
      </c>
      <c r="M47" s="20" t="n">
        <v>181440</v>
      </c>
      <c r="N47" s="29" t="s">
        <v>30</v>
      </c>
      <c r="O47" s="29" t="s">
        <v>230</v>
      </c>
      <c r="P47" s="16" t="s">
        <v>231</v>
      </c>
      <c r="Q47" s="16" t="s">
        <v>233</v>
      </c>
      <c r="R47" s="19" t="n">
        <v>210000</v>
      </c>
      <c r="S47" s="10"/>
      <c r="T47" s="19" t="n">
        <f aca="false">R47-M47</f>
        <v>28560</v>
      </c>
      <c r="U47" s="19" t="n">
        <f aca="false">R47</f>
        <v>210000</v>
      </c>
      <c r="V47" s="13" t="s">
        <v>234</v>
      </c>
      <c r="W47" s="20" t="s">
        <v>51</v>
      </c>
      <c r="X47" s="20" t="n">
        <v>52500</v>
      </c>
      <c r="Y47" s="20" t="n">
        <v>52500</v>
      </c>
      <c r="Z47" s="20" t="n">
        <v>52500</v>
      </c>
      <c r="AA47" s="20" t="n">
        <v>52500</v>
      </c>
    </row>
    <row r="48" customFormat="false" ht="97.75" hidden="false" customHeight="false" outlineLevel="0" collapsed="false">
      <c r="A48" s="10"/>
      <c r="B48" s="10"/>
      <c r="C48" s="11" t="s">
        <v>59</v>
      </c>
      <c r="D48" s="12" t="s">
        <v>201</v>
      </c>
      <c r="E48" s="10"/>
      <c r="F48" s="10" t="n">
        <v>8</v>
      </c>
      <c r="G48" s="30" t="s">
        <v>217</v>
      </c>
      <c r="H48" s="16" t="s">
        <v>218</v>
      </c>
      <c r="I48" s="29" t="s">
        <v>26</v>
      </c>
      <c r="J48" s="29" t="s">
        <v>235</v>
      </c>
      <c r="K48" s="16" t="s">
        <v>236</v>
      </c>
      <c r="L48" s="16" t="s">
        <v>237</v>
      </c>
      <c r="M48" s="20" t="n">
        <v>3000</v>
      </c>
      <c r="N48" s="29" t="s">
        <v>26</v>
      </c>
      <c r="O48" s="29" t="s">
        <v>235</v>
      </c>
      <c r="P48" s="16" t="s">
        <v>236</v>
      </c>
      <c r="Q48" s="16" t="s">
        <v>238</v>
      </c>
      <c r="R48" s="19" t="n">
        <v>16800</v>
      </c>
      <c r="S48" s="10"/>
      <c r="T48" s="19" t="n">
        <f aca="false">R48-M48</f>
        <v>13800</v>
      </c>
      <c r="U48" s="19" t="n">
        <f aca="false">R48</f>
        <v>16800</v>
      </c>
      <c r="V48" s="13" t="s">
        <v>239</v>
      </c>
      <c r="W48" s="20" t="s">
        <v>51</v>
      </c>
      <c r="X48" s="20" t="n">
        <v>13800</v>
      </c>
      <c r="Y48" s="20" t="n">
        <v>1000</v>
      </c>
      <c r="Z48" s="20" t="n">
        <v>1000</v>
      </c>
      <c r="AA48" s="20" t="n">
        <v>1000</v>
      </c>
    </row>
    <row r="49" customFormat="false" ht="111.15" hidden="false" customHeight="false" outlineLevel="0" collapsed="false">
      <c r="A49" s="10"/>
      <c r="B49" s="10"/>
      <c r="C49" s="11" t="s">
        <v>59</v>
      </c>
      <c r="D49" s="12" t="s">
        <v>240</v>
      </c>
      <c r="E49" s="10"/>
      <c r="F49" s="10" t="n">
        <v>21</v>
      </c>
      <c r="G49" s="30" t="s">
        <v>217</v>
      </c>
      <c r="H49" s="16" t="s">
        <v>224</v>
      </c>
      <c r="I49" s="29" t="s">
        <v>30</v>
      </c>
      <c r="J49" s="29" t="s">
        <v>241</v>
      </c>
      <c r="K49" s="31" t="s">
        <v>242</v>
      </c>
      <c r="L49" s="16" t="s">
        <v>243</v>
      </c>
      <c r="M49" s="20" t="n">
        <v>537000</v>
      </c>
      <c r="N49" s="17" t="s">
        <v>30</v>
      </c>
      <c r="O49" s="17" t="s">
        <v>241</v>
      </c>
      <c r="P49" s="26" t="s">
        <v>242</v>
      </c>
      <c r="Q49" s="18" t="s">
        <v>244</v>
      </c>
      <c r="R49" s="19" t="n">
        <v>540000</v>
      </c>
      <c r="S49" s="10"/>
      <c r="T49" s="19" t="n">
        <f aca="false">R49-M49</f>
        <v>3000</v>
      </c>
      <c r="U49" s="19" t="n">
        <f aca="false">R49</f>
        <v>540000</v>
      </c>
      <c r="V49" s="13" t="s">
        <v>245</v>
      </c>
      <c r="W49" s="20" t="s">
        <v>51</v>
      </c>
      <c r="X49" s="21" t="n">
        <v>140000</v>
      </c>
      <c r="Y49" s="21" t="n">
        <v>130000</v>
      </c>
      <c r="Z49" s="21" t="n">
        <v>140000</v>
      </c>
      <c r="AA49" s="21" t="n">
        <v>130000</v>
      </c>
    </row>
    <row r="50" customFormat="false" ht="82.8" hidden="false" customHeight="false" outlineLevel="0" collapsed="false">
      <c r="A50" s="10"/>
      <c r="B50" s="10"/>
      <c r="C50" s="11" t="s">
        <v>246</v>
      </c>
      <c r="D50" s="12" t="s">
        <v>247</v>
      </c>
      <c r="E50" s="10"/>
      <c r="F50" s="10" t="n">
        <v>34</v>
      </c>
      <c r="G50" s="30" t="s">
        <v>217</v>
      </c>
      <c r="H50" s="16" t="s">
        <v>224</v>
      </c>
      <c r="I50" s="29" t="s">
        <v>30</v>
      </c>
      <c r="J50" s="29" t="s">
        <v>248</v>
      </c>
      <c r="K50" s="31" t="s">
        <v>249</v>
      </c>
      <c r="L50" s="16" t="s">
        <v>250</v>
      </c>
      <c r="M50" s="20" t="n">
        <v>410000</v>
      </c>
      <c r="N50" s="17" t="s">
        <v>30</v>
      </c>
      <c r="O50" s="17" t="s">
        <v>248</v>
      </c>
      <c r="P50" s="26" t="s">
        <v>249</v>
      </c>
      <c r="Q50" s="18" t="s">
        <v>250</v>
      </c>
      <c r="R50" s="19" t="n">
        <v>410200</v>
      </c>
      <c r="S50" s="10"/>
      <c r="T50" s="19" t="n">
        <f aca="false">R50-M50</f>
        <v>200</v>
      </c>
      <c r="U50" s="19" t="n">
        <f aca="false">R50</f>
        <v>410200</v>
      </c>
      <c r="V50" s="12"/>
      <c r="W50" s="20" t="s">
        <v>110</v>
      </c>
      <c r="X50" s="10"/>
      <c r="Y50" s="10"/>
      <c r="Z50" s="10"/>
      <c r="AA50" s="21" t="n">
        <v>410200</v>
      </c>
    </row>
    <row r="51" customFormat="false" ht="97.75" hidden="false" customHeight="false" outlineLevel="0" collapsed="false">
      <c r="A51" s="10"/>
      <c r="B51" s="10"/>
      <c r="C51" s="10"/>
      <c r="D51" s="12"/>
      <c r="E51" s="10"/>
      <c r="F51" s="10" t="n">
        <v>39</v>
      </c>
      <c r="G51" s="30" t="s">
        <v>217</v>
      </c>
      <c r="H51" s="16" t="s">
        <v>224</v>
      </c>
      <c r="I51" s="29" t="s">
        <v>30</v>
      </c>
      <c r="J51" s="29" t="s">
        <v>251</v>
      </c>
      <c r="K51" s="31" t="s">
        <v>252</v>
      </c>
      <c r="L51" s="16" t="s">
        <v>253</v>
      </c>
      <c r="M51" s="20" t="n">
        <v>211500</v>
      </c>
      <c r="N51" s="17" t="s">
        <v>30</v>
      </c>
      <c r="O51" s="17" t="s">
        <v>251</v>
      </c>
      <c r="P51" s="26" t="s">
        <v>252</v>
      </c>
      <c r="Q51" s="18" t="s">
        <v>253</v>
      </c>
      <c r="R51" s="19" t="n">
        <v>211500</v>
      </c>
      <c r="S51" s="10"/>
      <c r="T51" s="19" t="n">
        <f aca="false">R51-M51</f>
        <v>0</v>
      </c>
      <c r="U51" s="19" t="n">
        <f aca="false">R51</f>
        <v>211500</v>
      </c>
      <c r="V51" s="12"/>
      <c r="W51" s="20" t="s">
        <v>51</v>
      </c>
      <c r="X51" s="21" t="n">
        <v>10000</v>
      </c>
      <c r="Y51" s="21" t="n">
        <v>10000</v>
      </c>
      <c r="Z51" s="21" t="n">
        <v>10000</v>
      </c>
      <c r="AA51" s="21" t="n">
        <v>181500</v>
      </c>
    </row>
    <row r="52" customFormat="false" ht="82.8" hidden="false" customHeight="false" outlineLevel="0" collapsed="false">
      <c r="A52" s="10"/>
      <c r="B52" s="10"/>
      <c r="C52" s="11" t="s">
        <v>246</v>
      </c>
      <c r="D52" s="12" t="s">
        <v>254</v>
      </c>
      <c r="E52" s="10"/>
      <c r="F52" s="10" t="n">
        <v>44</v>
      </c>
      <c r="G52" s="30" t="s">
        <v>217</v>
      </c>
      <c r="H52" s="16" t="s">
        <v>224</v>
      </c>
      <c r="I52" s="29" t="s">
        <v>30</v>
      </c>
      <c r="J52" s="29" t="s">
        <v>241</v>
      </c>
      <c r="K52" s="31" t="s">
        <v>255</v>
      </c>
      <c r="L52" s="16" t="s">
        <v>256</v>
      </c>
      <c r="M52" s="20" t="n">
        <v>3000</v>
      </c>
      <c r="N52" s="17" t="s">
        <v>30</v>
      </c>
      <c r="O52" s="17" t="s">
        <v>241</v>
      </c>
      <c r="P52" s="26" t="s">
        <v>255</v>
      </c>
      <c r="Q52" s="18" t="s">
        <v>256</v>
      </c>
      <c r="R52" s="19" t="n">
        <v>3000</v>
      </c>
      <c r="S52" s="10"/>
      <c r="T52" s="19" t="n">
        <f aca="false">R52-M52</f>
        <v>0</v>
      </c>
      <c r="U52" s="19" t="n">
        <f aca="false">R52</f>
        <v>3000</v>
      </c>
      <c r="V52" s="12"/>
      <c r="W52" s="20" t="s">
        <v>51</v>
      </c>
      <c r="X52" s="21" t="n">
        <v>750</v>
      </c>
      <c r="Y52" s="21" t="n">
        <v>750</v>
      </c>
      <c r="Z52" s="21" t="n">
        <v>750</v>
      </c>
      <c r="AA52" s="21" t="n">
        <v>750</v>
      </c>
    </row>
    <row r="53" customFormat="false" ht="85.05" hidden="false" customHeight="false" outlineLevel="0" collapsed="false">
      <c r="A53" s="10"/>
      <c r="B53" s="10"/>
      <c r="C53" s="11" t="s">
        <v>22</v>
      </c>
      <c r="D53" s="12" t="s">
        <v>257</v>
      </c>
      <c r="E53" s="10"/>
      <c r="F53" s="10" t="n">
        <v>45</v>
      </c>
      <c r="G53" s="30" t="s">
        <v>217</v>
      </c>
      <c r="H53" s="16" t="s">
        <v>224</v>
      </c>
      <c r="I53" s="29" t="s">
        <v>30</v>
      </c>
      <c r="J53" s="29" t="s">
        <v>86</v>
      </c>
      <c r="K53" s="31" t="s">
        <v>258</v>
      </c>
      <c r="L53" s="16" t="s">
        <v>259</v>
      </c>
      <c r="M53" s="20" t="n">
        <v>200</v>
      </c>
      <c r="N53" s="17" t="s">
        <v>30</v>
      </c>
      <c r="O53" s="17" t="s">
        <v>86</v>
      </c>
      <c r="P53" s="26" t="s">
        <v>258</v>
      </c>
      <c r="Q53" s="18" t="s">
        <v>259</v>
      </c>
      <c r="R53" s="19" t="n">
        <v>200</v>
      </c>
      <c r="S53" s="10"/>
      <c r="T53" s="19" t="n">
        <f aca="false">R53-M53</f>
        <v>0</v>
      </c>
      <c r="U53" s="19" t="n">
        <f aca="false">R53</f>
        <v>200</v>
      </c>
      <c r="V53" s="12"/>
      <c r="W53" s="20" t="s">
        <v>51</v>
      </c>
      <c r="X53" s="21" t="n">
        <v>100</v>
      </c>
      <c r="Y53" s="10"/>
      <c r="Z53" s="21" t="n">
        <v>100</v>
      </c>
      <c r="AA53" s="10"/>
    </row>
    <row r="54" customFormat="false" ht="100.7" hidden="false" customHeight="false" outlineLevel="0" collapsed="false">
      <c r="A54" s="10"/>
      <c r="B54" s="10"/>
      <c r="C54" s="11" t="s">
        <v>246</v>
      </c>
      <c r="D54" s="12" t="s">
        <v>247</v>
      </c>
      <c r="E54" s="10"/>
      <c r="F54" s="10" t="n">
        <v>49</v>
      </c>
      <c r="G54" s="30" t="s">
        <v>217</v>
      </c>
      <c r="H54" s="16" t="s">
        <v>224</v>
      </c>
      <c r="I54" s="29" t="s">
        <v>30</v>
      </c>
      <c r="J54" s="29" t="s">
        <v>230</v>
      </c>
      <c r="K54" s="31" t="s">
        <v>260</v>
      </c>
      <c r="L54" s="16" t="s">
        <v>261</v>
      </c>
      <c r="M54" s="20" t="n">
        <v>218400</v>
      </c>
      <c r="N54" s="17" t="s">
        <v>30</v>
      </c>
      <c r="O54" s="17" t="s">
        <v>230</v>
      </c>
      <c r="P54" s="26" t="s">
        <v>260</v>
      </c>
      <c r="Q54" s="18" t="s">
        <v>261</v>
      </c>
      <c r="R54" s="19" t="n">
        <v>218400</v>
      </c>
      <c r="S54" s="10"/>
      <c r="T54" s="19" t="n">
        <f aca="false">R54-M54</f>
        <v>0</v>
      </c>
      <c r="U54" s="19" t="n">
        <f aca="false">R54</f>
        <v>218400</v>
      </c>
      <c r="V54" s="12"/>
      <c r="W54" s="20" t="s">
        <v>51</v>
      </c>
      <c r="X54" s="21" t="n">
        <v>54600</v>
      </c>
      <c r="Y54" s="21" t="n">
        <v>54600</v>
      </c>
      <c r="Z54" s="21" t="n">
        <v>54600</v>
      </c>
      <c r="AA54" s="21" t="n">
        <v>54600</v>
      </c>
    </row>
    <row r="55" customFormat="false" ht="82.8" hidden="false" customHeight="false" outlineLevel="0" collapsed="false">
      <c r="A55" s="10"/>
      <c r="B55" s="10"/>
      <c r="C55" s="10"/>
      <c r="D55" s="12"/>
      <c r="E55" s="10"/>
      <c r="F55" s="10" t="n">
        <v>58</v>
      </c>
      <c r="G55" s="30" t="s">
        <v>217</v>
      </c>
      <c r="H55" s="16" t="s">
        <v>224</v>
      </c>
      <c r="I55" s="29" t="s">
        <v>30</v>
      </c>
      <c r="J55" s="29" t="s">
        <v>207</v>
      </c>
      <c r="K55" s="31" t="s">
        <v>262</v>
      </c>
      <c r="L55" s="16" t="s">
        <v>263</v>
      </c>
      <c r="M55" s="20" t="n">
        <v>22000</v>
      </c>
      <c r="N55" s="17" t="s">
        <v>30</v>
      </c>
      <c r="O55" s="17" t="s">
        <v>207</v>
      </c>
      <c r="P55" s="26" t="s">
        <v>262</v>
      </c>
      <c r="Q55" s="18" t="s">
        <v>263</v>
      </c>
      <c r="R55" s="19" t="n">
        <v>22000</v>
      </c>
      <c r="S55" s="10"/>
      <c r="T55" s="19" t="n">
        <f aca="false">R55-M55</f>
        <v>0</v>
      </c>
      <c r="U55" s="19" t="n">
        <f aca="false">R55</f>
        <v>22000</v>
      </c>
      <c r="V55" s="12"/>
      <c r="W55" s="20" t="s">
        <v>138</v>
      </c>
      <c r="X55" s="21" t="n">
        <v>22000</v>
      </c>
      <c r="Y55" s="10"/>
      <c r="Z55" s="10"/>
      <c r="AA55" s="10"/>
    </row>
    <row r="56" customFormat="false" ht="82.8" hidden="false" customHeight="false" outlineLevel="0" collapsed="false">
      <c r="A56" s="10"/>
      <c r="B56" s="10"/>
      <c r="C56" s="11" t="s">
        <v>246</v>
      </c>
      <c r="D56" s="12" t="s">
        <v>254</v>
      </c>
      <c r="E56" s="10"/>
      <c r="F56" s="10" t="n">
        <v>59</v>
      </c>
      <c r="G56" s="30" t="s">
        <v>217</v>
      </c>
      <c r="H56" s="16" t="s">
        <v>224</v>
      </c>
      <c r="I56" s="29" t="s">
        <v>30</v>
      </c>
      <c r="J56" s="29" t="s">
        <v>264</v>
      </c>
      <c r="K56" s="31" t="s">
        <v>265</v>
      </c>
      <c r="L56" s="16" t="s">
        <v>266</v>
      </c>
      <c r="M56" s="20" t="n">
        <v>26000</v>
      </c>
      <c r="N56" s="17" t="s">
        <v>30</v>
      </c>
      <c r="O56" s="17" t="s">
        <v>264</v>
      </c>
      <c r="P56" s="26" t="s">
        <v>265</v>
      </c>
      <c r="Q56" s="18" t="s">
        <v>266</v>
      </c>
      <c r="R56" s="19" t="n">
        <v>26000</v>
      </c>
      <c r="S56" s="10"/>
      <c r="T56" s="19" t="n">
        <f aca="false">R56-M56</f>
        <v>0</v>
      </c>
      <c r="U56" s="19" t="n">
        <f aca="false">R56</f>
        <v>26000</v>
      </c>
      <c r="V56" s="12"/>
      <c r="W56" s="20" t="s">
        <v>51</v>
      </c>
      <c r="X56" s="21" t="n">
        <v>6500</v>
      </c>
      <c r="Y56" s="21" t="n">
        <v>6500</v>
      </c>
      <c r="Z56" s="21" t="n">
        <v>6500</v>
      </c>
      <c r="AA56" s="21" t="n">
        <v>6500</v>
      </c>
    </row>
    <row r="57" customFormat="false" ht="85.05" hidden="false" customHeight="false" outlineLevel="0" collapsed="false">
      <c r="A57" s="10"/>
      <c r="B57" s="10"/>
      <c r="C57" s="10"/>
      <c r="D57" s="12"/>
      <c r="E57" s="10"/>
      <c r="F57" s="10" t="n">
        <v>60</v>
      </c>
      <c r="G57" s="30" t="s">
        <v>217</v>
      </c>
      <c r="H57" s="16" t="s">
        <v>224</v>
      </c>
      <c r="I57" s="29" t="s">
        <v>30</v>
      </c>
      <c r="J57" s="29" t="s">
        <v>207</v>
      </c>
      <c r="K57" s="31" t="s">
        <v>267</v>
      </c>
      <c r="L57" s="16" t="s">
        <v>268</v>
      </c>
      <c r="M57" s="20" t="n">
        <v>111000</v>
      </c>
      <c r="N57" s="17" t="s">
        <v>30</v>
      </c>
      <c r="O57" s="17" t="s">
        <v>207</v>
      </c>
      <c r="P57" s="26" t="s">
        <v>267</v>
      </c>
      <c r="Q57" s="18" t="s">
        <v>268</v>
      </c>
      <c r="R57" s="19" t="n">
        <v>111000</v>
      </c>
      <c r="S57" s="10"/>
      <c r="T57" s="19" t="n">
        <f aca="false">R57-M57</f>
        <v>0</v>
      </c>
      <c r="U57" s="19" t="n">
        <f aca="false">R57</f>
        <v>111000</v>
      </c>
      <c r="V57" s="12"/>
      <c r="W57" s="20" t="s">
        <v>51</v>
      </c>
      <c r="X57" s="21" t="n">
        <v>17750</v>
      </c>
      <c r="Y57" s="21" t="n">
        <v>31083</v>
      </c>
      <c r="Z57" s="21" t="n">
        <v>31083</v>
      </c>
      <c r="AA57" s="21" t="n">
        <v>31084</v>
      </c>
    </row>
    <row r="58" customFormat="false" ht="109.7" hidden="false" customHeight="false" outlineLevel="0" collapsed="false">
      <c r="A58" s="10"/>
      <c r="B58" s="10"/>
      <c r="C58" s="11" t="s">
        <v>22</v>
      </c>
      <c r="D58" s="12" t="s">
        <v>257</v>
      </c>
      <c r="E58" s="10"/>
      <c r="F58" s="10" t="n">
        <v>61</v>
      </c>
      <c r="G58" s="30" t="s">
        <v>217</v>
      </c>
      <c r="H58" s="16" t="s">
        <v>269</v>
      </c>
      <c r="I58" s="29" t="s">
        <v>30</v>
      </c>
      <c r="J58" s="29" t="s">
        <v>86</v>
      </c>
      <c r="K58" s="31" t="s">
        <v>270</v>
      </c>
      <c r="L58" s="16" t="s">
        <v>271</v>
      </c>
      <c r="M58" s="20" t="n">
        <v>2760</v>
      </c>
      <c r="N58" s="17" t="s">
        <v>30</v>
      </c>
      <c r="O58" s="17" t="s">
        <v>86</v>
      </c>
      <c r="P58" s="26" t="s">
        <v>270</v>
      </c>
      <c r="Q58" s="18" t="s">
        <v>271</v>
      </c>
      <c r="R58" s="19" t="n">
        <v>2760</v>
      </c>
      <c r="S58" s="10"/>
      <c r="T58" s="19" t="n">
        <f aca="false">R58-M58</f>
        <v>0</v>
      </c>
      <c r="U58" s="19" t="n">
        <f aca="false">R58</f>
        <v>2760</v>
      </c>
      <c r="V58" s="12"/>
      <c r="W58" s="20" t="s">
        <v>51</v>
      </c>
      <c r="X58" s="21" t="n">
        <v>690</v>
      </c>
      <c r="Y58" s="21" t="n">
        <v>690</v>
      </c>
      <c r="Z58" s="21" t="n">
        <v>690</v>
      </c>
      <c r="AA58" s="21" t="n">
        <v>690</v>
      </c>
    </row>
    <row r="59" customFormat="false" ht="111.15" hidden="false" customHeight="false" outlineLevel="0" collapsed="false">
      <c r="A59" s="10"/>
      <c r="B59" s="10"/>
      <c r="C59" s="11" t="s">
        <v>103</v>
      </c>
      <c r="D59" s="12" t="s">
        <v>272</v>
      </c>
      <c r="E59" s="10"/>
      <c r="F59" s="10" t="n">
        <v>62</v>
      </c>
      <c r="G59" s="30" t="s">
        <v>217</v>
      </c>
      <c r="H59" s="16" t="s">
        <v>269</v>
      </c>
      <c r="I59" s="29" t="s">
        <v>30</v>
      </c>
      <c r="J59" s="29" t="s">
        <v>86</v>
      </c>
      <c r="K59" s="31" t="s">
        <v>273</v>
      </c>
      <c r="L59" s="16" t="s">
        <v>274</v>
      </c>
      <c r="M59" s="20" t="n">
        <v>12600</v>
      </c>
      <c r="N59" s="17" t="s">
        <v>30</v>
      </c>
      <c r="O59" s="17" t="s">
        <v>86</v>
      </c>
      <c r="P59" s="26" t="s">
        <v>273</v>
      </c>
      <c r="Q59" s="18" t="s">
        <v>274</v>
      </c>
      <c r="R59" s="19" t="n">
        <v>12600</v>
      </c>
      <c r="S59" s="10"/>
      <c r="T59" s="19" t="n">
        <f aca="false">R59-M59</f>
        <v>0</v>
      </c>
      <c r="U59" s="19" t="n">
        <f aca="false">R59</f>
        <v>12600</v>
      </c>
      <c r="V59" s="12"/>
      <c r="W59" s="20" t="s">
        <v>51</v>
      </c>
      <c r="X59" s="21" t="n">
        <v>3150</v>
      </c>
      <c r="Y59" s="21" t="n">
        <v>3150</v>
      </c>
      <c r="Z59" s="21" t="n">
        <v>3150</v>
      </c>
      <c r="AA59" s="21" t="n">
        <v>3150</v>
      </c>
    </row>
    <row r="60" customFormat="false" ht="109.7" hidden="false" customHeight="false" outlineLevel="0" collapsed="false">
      <c r="A60" s="10"/>
      <c r="B60" s="10"/>
      <c r="C60" s="11" t="s">
        <v>22</v>
      </c>
      <c r="D60" s="12" t="s">
        <v>257</v>
      </c>
      <c r="E60" s="10"/>
      <c r="F60" s="10" t="n">
        <v>63</v>
      </c>
      <c r="G60" s="30" t="s">
        <v>217</v>
      </c>
      <c r="H60" s="16" t="s">
        <v>269</v>
      </c>
      <c r="I60" s="29" t="s">
        <v>30</v>
      </c>
      <c r="J60" s="29" t="s">
        <v>86</v>
      </c>
      <c r="K60" s="31" t="s">
        <v>275</v>
      </c>
      <c r="L60" s="16" t="s">
        <v>276</v>
      </c>
      <c r="M60" s="20" t="n">
        <v>43200</v>
      </c>
      <c r="N60" s="17" t="s">
        <v>30</v>
      </c>
      <c r="O60" s="17" t="s">
        <v>86</v>
      </c>
      <c r="P60" s="26" t="s">
        <v>275</v>
      </c>
      <c r="Q60" s="18" t="s">
        <v>276</v>
      </c>
      <c r="R60" s="19" t="n">
        <v>43200</v>
      </c>
      <c r="S60" s="10"/>
      <c r="T60" s="19" t="n">
        <f aca="false">R60-M60</f>
        <v>0</v>
      </c>
      <c r="U60" s="19" t="n">
        <f aca="false">R60</f>
        <v>43200</v>
      </c>
      <c r="V60" s="12"/>
      <c r="W60" s="20" t="s">
        <v>51</v>
      </c>
      <c r="X60" s="10"/>
      <c r="Y60" s="21" t="n">
        <v>21600</v>
      </c>
      <c r="Z60" s="10"/>
      <c r="AA60" s="21" t="n">
        <v>21600</v>
      </c>
    </row>
    <row r="61" customFormat="false" ht="109.7" hidden="false" customHeight="false" outlineLevel="0" collapsed="false">
      <c r="A61" s="10"/>
      <c r="B61" s="10"/>
      <c r="C61" s="11" t="s">
        <v>22</v>
      </c>
      <c r="D61" s="12" t="s">
        <v>257</v>
      </c>
      <c r="E61" s="10"/>
      <c r="F61" s="10" t="n">
        <v>64</v>
      </c>
      <c r="G61" s="30" t="s">
        <v>217</v>
      </c>
      <c r="H61" s="16" t="s">
        <v>269</v>
      </c>
      <c r="I61" s="29" t="s">
        <v>30</v>
      </c>
      <c r="J61" s="29" t="s">
        <v>86</v>
      </c>
      <c r="K61" s="31" t="s">
        <v>277</v>
      </c>
      <c r="L61" s="16" t="s">
        <v>271</v>
      </c>
      <c r="M61" s="20" t="n">
        <v>2760</v>
      </c>
      <c r="N61" s="17" t="s">
        <v>30</v>
      </c>
      <c r="O61" s="17" t="s">
        <v>86</v>
      </c>
      <c r="P61" s="26" t="s">
        <v>277</v>
      </c>
      <c r="Q61" s="18" t="s">
        <v>271</v>
      </c>
      <c r="R61" s="19" t="n">
        <v>2760</v>
      </c>
      <c r="S61" s="10"/>
      <c r="T61" s="19" t="n">
        <f aca="false">R61-M61</f>
        <v>0</v>
      </c>
      <c r="U61" s="19" t="n">
        <f aca="false">R61</f>
        <v>2760</v>
      </c>
      <c r="V61" s="12"/>
      <c r="W61" s="20" t="s">
        <v>51</v>
      </c>
      <c r="X61" s="10"/>
      <c r="Y61" s="10"/>
      <c r="Z61" s="21" t="n">
        <v>1380</v>
      </c>
      <c r="AA61" s="21" t="n">
        <v>1380</v>
      </c>
    </row>
    <row r="62" customFormat="false" ht="109.7" hidden="false" customHeight="false" outlineLevel="0" collapsed="false">
      <c r="A62" s="10"/>
      <c r="B62" s="10"/>
      <c r="C62" s="11" t="s">
        <v>22</v>
      </c>
      <c r="D62" s="12" t="s">
        <v>257</v>
      </c>
      <c r="E62" s="10"/>
      <c r="F62" s="10" t="n">
        <v>65</v>
      </c>
      <c r="G62" s="30" t="s">
        <v>217</v>
      </c>
      <c r="H62" s="16" t="s">
        <v>269</v>
      </c>
      <c r="I62" s="29" t="s">
        <v>30</v>
      </c>
      <c r="J62" s="29" t="s">
        <v>86</v>
      </c>
      <c r="K62" s="31" t="s">
        <v>278</v>
      </c>
      <c r="L62" s="16" t="s">
        <v>279</v>
      </c>
      <c r="M62" s="20" t="n">
        <v>6900</v>
      </c>
      <c r="N62" s="17" t="s">
        <v>30</v>
      </c>
      <c r="O62" s="17" t="s">
        <v>86</v>
      </c>
      <c r="P62" s="26" t="s">
        <v>278</v>
      </c>
      <c r="Q62" s="18" t="s">
        <v>279</v>
      </c>
      <c r="R62" s="19" t="n">
        <v>6900</v>
      </c>
      <c r="S62" s="10"/>
      <c r="T62" s="19" t="n">
        <f aca="false">R62-M62</f>
        <v>0</v>
      </c>
      <c r="U62" s="19" t="n">
        <f aca="false">R62</f>
        <v>6900</v>
      </c>
      <c r="V62" s="12"/>
      <c r="W62" s="20" t="s">
        <v>51</v>
      </c>
      <c r="X62" s="10"/>
      <c r="Y62" s="10"/>
      <c r="Z62" s="21" t="n">
        <v>3450</v>
      </c>
      <c r="AA62" s="21" t="n">
        <v>3450</v>
      </c>
    </row>
    <row r="63" customFormat="false" ht="109.7" hidden="false" customHeight="false" outlineLevel="0" collapsed="false">
      <c r="A63" s="10"/>
      <c r="B63" s="10"/>
      <c r="C63" s="11" t="s">
        <v>103</v>
      </c>
      <c r="D63" s="12" t="s">
        <v>159</v>
      </c>
      <c r="E63" s="10"/>
      <c r="F63" s="10" t="n">
        <v>67</v>
      </c>
      <c r="G63" s="30" t="s">
        <v>217</v>
      </c>
      <c r="H63" s="16" t="s">
        <v>269</v>
      </c>
      <c r="I63" s="29" t="s">
        <v>30</v>
      </c>
      <c r="J63" s="29" t="s">
        <v>86</v>
      </c>
      <c r="K63" s="31" t="s">
        <v>280</v>
      </c>
      <c r="L63" s="16" t="s">
        <v>281</v>
      </c>
      <c r="M63" s="20" t="n">
        <v>4320</v>
      </c>
      <c r="N63" s="17" t="s">
        <v>30</v>
      </c>
      <c r="O63" s="17" t="s">
        <v>86</v>
      </c>
      <c r="P63" s="26" t="s">
        <v>280</v>
      </c>
      <c r="Q63" s="18" t="s">
        <v>281</v>
      </c>
      <c r="R63" s="19" t="n">
        <v>4320</v>
      </c>
      <c r="S63" s="10"/>
      <c r="T63" s="19" t="n">
        <f aca="false">R63-M63</f>
        <v>0</v>
      </c>
      <c r="U63" s="19" t="n">
        <f aca="false">R63</f>
        <v>4320</v>
      </c>
      <c r="V63" s="12"/>
      <c r="W63" s="20" t="s">
        <v>51</v>
      </c>
      <c r="X63" s="21" t="n">
        <v>1080</v>
      </c>
      <c r="Y63" s="21" t="n">
        <v>1080</v>
      </c>
      <c r="Z63" s="21" t="n">
        <v>1080</v>
      </c>
      <c r="AA63" s="21" t="n">
        <v>1080</v>
      </c>
    </row>
    <row r="64" customFormat="false" ht="109.7" hidden="false" customHeight="false" outlineLevel="0" collapsed="false">
      <c r="A64" s="10"/>
      <c r="B64" s="10"/>
      <c r="C64" s="11" t="s">
        <v>103</v>
      </c>
      <c r="D64" s="12" t="s">
        <v>159</v>
      </c>
      <c r="E64" s="10"/>
      <c r="F64" s="10" t="n">
        <v>68</v>
      </c>
      <c r="G64" s="30" t="s">
        <v>217</v>
      </c>
      <c r="H64" s="16" t="s">
        <v>269</v>
      </c>
      <c r="I64" s="29" t="s">
        <v>30</v>
      </c>
      <c r="J64" s="29" t="s">
        <v>86</v>
      </c>
      <c r="K64" s="31" t="s">
        <v>282</v>
      </c>
      <c r="L64" s="16" t="s">
        <v>283</v>
      </c>
      <c r="M64" s="20" t="n">
        <v>6000</v>
      </c>
      <c r="N64" s="17" t="s">
        <v>30</v>
      </c>
      <c r="O64" s="17" t="s">
        <v>86</v>
      </c>
      <c r="P64" s="26" t="s">
        <v>282</v>
      </c>
      <c r="Q64" s="18" t="s">
        <v>283</v>
      </c>
      <c r="R64" s="19" t="n">
        <v>6000</v>
      </c>
      <c r="S64" s="10"/>
      <c r="T64" s="19" t="n">
        <f aca="false">R64-M64</f>
        <v>0</v>
      </c>
      <c r="U64" s="19" t="n">
        <f aca="false">R64</f>
        <v>6000</v>
      </c>
      <c r="V64" s="12"/>
      <c r="W64" s="20" t="s">
        <v>51</v>
      </c>
      <c r="X64" s="10"/>
      <c r="Y64" s="21" t="n">
        <v>3000</v>
      </c>
      <c r="Z64" s="10"/>
      <c r="AA64" s="21" t="n">
        <v>3000</v>
      </c>
    </row>
    <row r="65" customFormat="false" ht="109.7" hidden="false" customHeight="false" outlineLevel="0" collapsed="false">
      <c r="A65" s="10"/>
      <c r="B65" s="10"/>
      <c r="C65" s="11" t="s">
        <v>22</v>
      </c>
      <c r="D65" s="12" t="s">
        <v>257</v>
      </c>
      <c r="E65" s="10"/>
      <c r="F65" s="10" t="n">
        <v>69</v>
      </c>
      <c r="G65" s="30" t="s">
        <v>217</v>
      </c>
      <c r="H65" s="16" t="s">
        <v>269</v>
      </c>
      <c r="I65" s="29" t="s">
        <v>30</v>
      </c>
      <c r="J65" s="11" t="s">
        <v>74</v>
      </c>
      <c r="K65" s="31" t="s">
        <v>270</v>
      </c>
      <c r="L65" s="16" t="s">
        <v>284</v>
      </c>
      <c r="M65" s="20" t="n">
        <v>4480</v>
      </c>
      <c r="N65" s="17" t="s">
        <v>30</v>
      </c>
      <c r="O65" s="17" t="s">
        <v>74</v>
      </c>
      <c r="P65" s="26" t="s">
        <v>270</v>
      </c>
      <c r="Q65" s="18" t="s">
        <v>284</v>
      </c>
      <c r="R65" s="19" t="n">
        <v>4480</v>
      </c>
      <c r="S65" s="10"/>
      <c r="T65" s="19" t="n">
        <f aca="false">R65-M65</f>
        <v>0</v>
      </c>
      <c r="U65" s="19" t="n">
        <f aca="false">R65</f>
        <v>4480</v>
      </c>
      <c r="V65" s="12"/>
      <c r="W65" s="20" t="s">
        <v>51</v>
      </c>
      <c r="X65" s="21" t="n">
        <v>1120</v>
      </c>
      <c r="Y65" s="21" t="n">
        <v>1120</v>
      </c>
      <c r="Z65" s="21" t="n">
        <v>1120</v>
      </c>
      <c r="AA65" s="21" t="n">
        <v>1120</v>
      </c>
    </row>
    <row r="66" customFormat="false" ht="111.15" hidden="false" customHeight="false" outlineLevel="0" collapsed="false">
      <c r="A66" s="10"/>
      <c r="B66" s="10"/>
      <c r="C66" s="11" t="s">
        <v>103</v>
      </c>
      <c r="D66" s="12" t="s">
        <v>272</v>
      </c>
      <c r="E66" s="10"/>
      <c r="F66" s="10" t="n">
        <v>70</v>
      </c>
      <c r="G66" s="30" t="s">
        <v>217</v>
      </c>
      <c r="H66" s="16" t="s">
        <v>269</v>
      </c>
      <c r="I66" s="29" t="s">
        <v>30</v>
      </c>
      <c r="J66" s="11" t="s">
        <v>74</v>
      </c>
      <c r="K66" s="31" t="s">
        <v>273</v>
      </c>
      <c r="L66" s="16" t="s">
        <v>274</v>
      </c>
      <c r="M66" s="20" t="n">
        <v>12600</v>
      </c>
      <c r="N66" s="17" t="s">
        <v>30</v>
      </c>
      <c r="O66" s="17" t="s">
        <v>74</v>
      </c>
      <c r="P66" s="26" t="s">
        <v>273</v>
      </c>
      <c r="Q66" s="18" t="s">
        <v>274</v>
      </c>
      <c r="R66" s="19" t="n">
        <v>12600</v>
      </c>
      <c r="S66" s="10"/>
      <c r="T66" s="19" t="n">
        <f aca="false">R66-M66</f>
        <v>0</v>
      </c>
      <c r="U66" s="19" t="n">
        <f aca="false">R66</f>
        <v>12600</v>
      </c>
      <c r="V66" s="12"/>
      <c r="W66" s="20" t="s">
        <v>51</v>
      </c>
      <c r="X66" s="21" t="n">
        <v>3150</v>
      </c>
      <c r="Y66" s="21" t="n">
        <v>3150</v>
      </c>
      <c r="Z66" s="21" t="n">
        <v>3150</v>
      </c>
      <c r="AA66" s="21" t="n">
        <v>3150</v>
      </c>
    </row>
    <row r="67" customFormat="false" ht="109.7" hidden="false" customHeight="false" outlineLevel="0" collapsed="false">
      <c r="A67" s="10"/>
      <c r="B67" s="10"/>
      <c r="C67" s="11" t="s">
        <v>22</v>
      </c>
      <c r="D67" s="12" t="s">
        <v>257</v>
      </c>
      <c r="E67" s="10"/>
      <c r="F67" s="10" t="n">
        <v>71</v>
      </c>
      <c r="G67" s="30" t="s">
        <v>217</v>
      </c>
      <c r="H67" s="16" t="s">
        <v>269</v>
      </c>
      <c r="I67" s="29" t="s">
        <v>30</v>
      </c>
      <c r="J67" s="11" t="s">
        <v>74</v>
      </c>
      <c r="K67" s="31" t="s">
        <v>275</v>
      </c>
      <c r="L67" s="16" t="s">
        <v>276</v>
      </c>
      <c r="M67" s="20" t="n">
        <v>43200</v>
      </c>
      <c r="N67" s="17" t="s">
        <v>30</v>
      </c>
      <c r="O67" s="17" t="s">
        <v>74</v>
      </c>
      <c r="P67" s="26" t="s">
        <v>275</v>
      </c>
      <c r="Q67" s="18" t="s">
        <v>276</v>
      </c>
      <c r="R67" s="19" t="n">
        <v>43200</v>
      </c>
      <c r="S67" s="10"/>
      <c r="T67" s="19" t="n">
        <f aca="false">R67-M67</f>
        <v>0</v>
      </c>
      <c r="U67" s="19" t="n">
        <f aca="false">R67</f>
        <v>43200</v>
      </c>
      <c r="V67" s="12"/>
      <c r="W67" s="20" t="s">
        <v>51</v>
      </c>
      <c r="X67" s="10"/>
      <c r="Y67" s="21" t="n">
        <v>21600</v>
      </c>
      <c r="Z67" s="10"/>
      <c r="AA67" s="21" t="n">
        <v>21600</v>
      </c>
    </row>
    <row r="68" customFormat="false" ht="109.7" hidden="false" customHeight="false" outlineLevel="0" collapsed="false">
      <c r="A68" s="10"/>
      <c r="B68" s="10"/>
      <c r="C68" s="11" t="s">
        <v>22</v>
      </c>
      <c r="D68" s="12" t="s">
        <v>257</v>
      </c>
      <c r="E68" s="10"/>
      <c r="F68" s="10" t="n">
        <v>72</v>
      </c>
      <c r="G68" s="30" t="s">
        <v>217</v>
      </c>
      <c r="H68" s="16" t="s">
        <v>269</v>
      </c>
      <c r="I68" s="29" t="s">
        <v>30</v>
      </c>
      <c r="J68" s="11" t="s">
        <v>74</v>
      </c>
      <c r="K68" s="31" t="s">
        <v>277</v>
      </c>
      <c r="L68" s="16" t="s">
        <v>285</v>
      </c>
      <c r="M68" s="20" t="n">
        <v>7360</v>
      </c>
      <c r="N68" s="17" t="s">
        <v>30</v>
      </c>
      <c r="O68" s="17" t="s">
        <v>74</v>
      </c>
      <c r="P68" s="26" t="s">
        <v>277</v>
      </c>
      <c r="Q68" s="18" t="s">
        <v>285</v>
      </c>
      <c r="R68" s="19" t="n">
        <v>7360</v>
      </c>
      <c r="S68" s="10"/>
      <c r="T68" s="19" t="n">
        <f aca="false">R68-M68</f>
        <v>0</v>
      </c>
      <c r="U68" s="19" t="n">
        <f aca="false">R68</f>
        <v>7360</v>
      </c>
      <c r="V68" s="12"/>
      <c r="W68" s="20" t="s">
        <v>51</v>
      </c>
      <c r="X68" s="10"/>
      <c r="Y68" s="10"/>
      <c r="Z68" s="21" t="n">
        <v>3680</v>
      </c>
      <c r="AA68" s="21" t="n">
        <v>3680</v>
      </c>
    </row>
    <row r="69" customFormat="false" ht="109.7" hidden="false" customHeight="false" outlineLevel="0" collapsed="false">
      <c r="A69" s="10"/>
      <c r="B69" s="10"/>
      <c r="C69" s="11" t="s">
        <v>22</v>
      </c>
      <c r="D69" s="12" t="s">
        <v>257</v>
      </c>
      <c r="E69" s="10"/>
      <c r="F69" s="10" t="n">
        <v>73</v>
      </c>
      <c r="G69" s="30" t="s">
        <v>217</v>
      </c>
      <c r="H69" s="16" t="s">
        <v>269</v>
      </c>
      <c r="I69" s="29" t="s">
        <v>30</v>
      </c>
      <c r="J69" s="11" t="s">
        <v>74</v>
      </c>
      <c r="K69" s="31" t="s">
        <v>278</v>
      </c>
      <c r="L69" s="16" t="s">
        <v>286</v>
      </c>
      <c r="M69" s="20" t="n">
        <v>18400</v>
      </c>
      <c r="N69" s="17" t="s">
        <v>30</v>
      </c>
      <c r="O69" s="17" t="s">
        <v>74</v>
      </c>
      <c r="P69" s="26" t="s">
        <v>278</v>
      </c>
      <c r="Q69" s="18" t="s">
        <v>286</v>
      </c>
      <c r="R69" s="19" t="n">
        <v>18400</v>
      </c>
      <c r="S69" s="10"/>
      <c r="T69" s="19" t="n">
        <f aca="false">R69-M69</f>
        <v>0</v>
      </c>
      <c r="U69" s="19" t="n">
        <f aca="false">R69</f>
        <v>18400</v>
      </c>
      <c r="V69" s="12"/>
      <c r="W69" s="20" t="s">
        <v>51</v>
      </c>
      <c r="X69" s="10"/>
      <c r="Y69" s="10"/>
      <c r="Z69" s="21" t="n">
        <v>9200</v>
      </c>
      <c r="AA69" s="21" t="n">
        <v>9200</v>
      </c>
    </row>
    <row r="70" customFormat="false" ht="109.7" hidden="false" customHeight="false" outlineLevel="0" collapsed="false">
      <c r="A70" s="10"/>
      <c r="B70" s="10"/>
      <c r="C70" s="11" t="s">
        <v>22</v>
      </c>
      <c r="D70" s="12" t="s">
        <v>287</v>
      </c>
      <c r="E70" s="10"/>
      <c r="F70" s="10" t="n">
        <v>74</v>
      </c>
      <c r="G70" s="30" t="s">
        <v>217</v>
      </c>
      <c r="H70" s="16" t="s">
        <v>269</v>
      </c>
      <c r="I70" s="29" t="s">
        <v>30</v>
      </c>
      <c r="J70" s="11" t="s">
        <v>74</v>
      </c>
      <c r="K70" s="31" t="s">
        <v>288</v>
      </c>
      <c r="L70" s="16" t="s">
        <v>289</v>
      </c>
      <c r="M70" s="20" t="n">
        <v>3180</v>
      </c>
      <c r="N70" s="17" t="s">
        <v>30</v>
      </c>
      <c r="O70" s="17" t="s">
        <v>74</v>
      </c>
      <c r="P70" s="26" t="s">
        <v>288</v>
      </c>
      <c r="Q70" s="18" t="s">
        <v>289</v>
      </c>
      <c r="R70" s="19" t="n">
        <v>3180</v>
      </c>
      <c r="S70" s="10"/>
      <c r="T70" s="19" t="n">
        <f aca="false">R70-M70</f>
        <v>0</v>
      </c>
      <c r="U70" s="19" t="n">
        <f aca="false">R70</f>
        <v>3180</v>
      </c>
      <c r="V70" s="12"/>
      <c r="W70" s="20" t="s">
        <v>51</v>
      </c>
      <c r="X70" s="21" t="n">
        <v>795</v>
      </c>
      <c r="Y70" s="21" t="n">
        <v>795</v>
      </c>
      <c r="Z70" s="21" t="n">
        <v>795</v>
      </c>
      <c r="AA70" s="21" t="n">
        <v>795</v>
      </c>
    </row>
    <row r="71" customFormat="false" ht="123.85" hidden="false" customHeight="false" outlineLevel="0" collapsed="false">
      <c r="A71" s="10"/>
      <c r="B71" s="10"/>
      <c r="C71" s="10"/>
      <c r="D71" s="12"/>
      <c r="E71" s="10"/>
      <c r="F71" s="10" t="n">
        <v>77</v>
      </c>
      <c r="G71" s="30" t="s">
        <v>217</v>
      </c>
      <c r="H71" s="16" t="s">
        <v>290</v>
      </c>
      <c r="I71" s="29" t="s">
        <v>30</v>
      </c>
      <c r="J71" s="29" t="s">
        <v>291</v>
      </c>
      <c r="K71" s="31" t="s">
        <v>292</v>
      </c>
      <c r="L71" s="16" t="s">
        <v>293</v>
      </c>
      <c r="M71" s="20" t="n">
        <v>732</v>
      </c>
      <c r="N71" s="17" t="s">
        <v>30</v>
      </c>
      <c r="O71" s="17" t="s">
        <v>291</v>
      </c>
      <c r="P71" s="26" t="s">
        <v>292</v>
      </c>
      <c r="Q71" s="18" t="s">
        <v>293</v>
      </c>
      <c r="R71" s="19" t="n">
        <v>732</v>
      </c>
      <c r="S71" s="10"/>
      <c r="T71" s="19" t="n">
        <f aca="false">R71-M71</f>
        <v>0</v>
      </c>
      <c r="U71" s="19" t="n">
        <f aca="false">R71</f>
        <v>732</v>
      </c>
      <c r="V71" s="12"/>
      <c r="W71" s="20" t="s">
        <v>51</v>
      </c>
      <c r="X71" s="10"/>
      <c r="Y71" s="10"/>
      <c r="Z71" s="10"/>
      <c r="AA71" s="21" t="n">
        <v>732</v>
      </c>
    </row>
    <row r="72" customFormat="false" ht="109.7" hidden="false" customHeight="false" outlineLevel="0" collapsed="false">
      <c r="A72" s="10"/>
      <c r="B72" s="10"/>
      <c r="C72" s="11" t="s">
        <v>103</v>
      </c>
      <c r="D72" s="12" t="s">
        <v>159</v>
      </c>
      <c r="E72" s="10"/>
      <c r="F72" s="10" t="n">
        <v>78</v>
      </c>
      <c r="G72" s="30" t="s">
        <v>217</v>
      </c>
      <c r="H72" s="16" t="s">
        <v>290</v>
      </c>
      <c r="I72" s="29" t="s">
        <v>30</v>
      </c>
      <c r="J72" s="11" t="s">
        <v>74</v>
      </c>
      <c r="K72" s="31" t="s">
        <v>294</v>
      </c>
      <c r="L72" s="16" t="s">
        <v>295</v>
      </c>
      <c r="M72" s="20" t="n">
        <v>1200</v>
      </c>
      <c r="N72" s="17" t="s">
        <v>30</v>
      </c>
      <c r="O72" s="17" t="s">
        <v>74</v>
      </c>
      <c r="P72" s="26" t="s">
        <v>294</v>
      </c>
      <c r="Q72" s="18" t="s">
        <v>295</v>
      </c>
      <c r="R72" s="19" t="n">
        <v>1200</v>
      </c>
      <c r="S72" s="10"/>
      <c r="T72" s="19" t="n">
        <f aca="false">R72-M72</f>
        <v>0</v>
      </c>
      <c r="U72" s="19" t="n">
        <f aca="false">R72</f>
        <v>1200</v>
      </c>
      <c r="V72" s="12"/>
      <c r="W72" s="20" t="s">
        <v>51</v>
      </c>
      <c r="X72" s="21" t="n">
        <v>300</v>
      </c>
      <c r="Y72" s="21" t="n">
        <v>300</v>
      </c>
      <c r="Z72" s="21" t="n">
        <v>300</v>
      </c>
      <c r="AA72" s="21" t="n">
        <v>300</v>
      </c>
    </row>
    <row r="73" customFormat="false" ht="109.7" hidden="false" customHeight="false" outlineLevel="0" collapsed="false">
      <c r="A73" s="10"/>
      <c r="B73" s="10"/>
      <c r="C73" s="11" t="s">
        <v>103</v>
      </c>
      <c r="D73" s="12" t="s">
        <v>159</v>
      </c>
      <c r="E73" s="10"/>
      <c r="F73" s="10" t="n">
        <v>81</v>
      </c>
      <c r="G73" s="30" t="s">
        <v>217</v>
      </c>
      <c r="H73" s="16" t="s">
        <v>290</v>
      </c>
      <c r="I73" s="29" t="s">
        <v>30</v>
      </c>
      <c r="J73" s="29" t="s">
        <v>86</v>
      </c>
      <c r="K73" s="31" t="s">
        <v>296</v>
      </c>
      <c r="L73" s="16" t="s">
        <v>297</v>
      </c>
      <c r="M73" s="20" t="n">
        <v>1792</v>
      </c>
      <c r="N73" s="17" t="s">
        <v>30</v>
      </c>
      <c r="O73" s="17" t="s">
        <v>86</v>
      </c>
      <c r="P73" s="26" t="s">
        <v>296</v>
      </c>
      <c r="Q73" s="18" t="s">
        <v>297</v>
      </c>
      <c r="R73" s="19" t="n">
        <v>1792</v>
      </c>
      <c r="S73" s="10"/>
      <c r="T73" s="19" t="n">
        <f aca="false">R73-M73</f>
        <v>0</v>
      </c>
      <c r="U73" s="19" t="n">
        <f aca="false">R73</f>
        <v>1792</v>
      </c>
      <c r="V73" s="12"/>
      <c r="W73" s="20" t="s">
        <v>51</v>
      </c>
      <c r="X73" s="21" t="n">
        <v>448</v>
      </c>
      <c r="Y73" s="21" t="n">
        <v>448</v>
      </c>
      <c r="Z73" s="21" t="n">
        <v>448</v>
      </c>
      <c r="AA73" s="21" t="n">
        <v>448</v>
      </c>
    </row>
    <row r="74" customFormat="false" ht="171.6" hidden="false" customHeight="false" outlineLevel="0" collapsed="false">
      <c r="A74" s="10"/>
      <c r="B74" s="10"/>
      <c r="C74" s="10"/>
      <c r="D74" s="12"/>
      <c r="E74" s="10"/>
      <c r="F74" s="10" t="n">
        <v>87</v>
      </c>
      <c r="G74" s="30" t="s">
        <v>217</v>
      </c>
      <c r="H74" s="16" t="s">
        <v>298</v>
      </c>
      <c r="I74" s="29" t="s">
        <v>30</v>
      </c>
      <c r="J74" s="11" t="s">
        <v>74</v>
      </c>
      <c r="K74" s="16" t="s">
        <v>299</v>
      </c>
      <c r="L74" s="16" t="s">
        <v>300</v>
      </c>
      <c r="M74" s="20" t="n">
        <v>1630</v>
      </c>
      <c r="N74" s="17" t="s">
        <v>30</v>
      </c>
      <c r="O74" s="17" t="s">
        <v>74</v>
      </c>
      <c r="P74" s="18" t="s">
        <v>299</v>
      </c>
      <c r="Q74" s="18" t="s">
        <v>300</v>
      </c>
      <c r="R74" s="19" t="n">
        <v>1630</v>
      </c>
      <c r="S74" s="10"/>
      <c r="T74" s="19" t="n">
        <f aca="false">R74-M74</f>
        <v>0</v>
      </c>
      <c r="U74" s="19" t="n">
        <f aca="false">R74</f>
        <v>1630</v>
      </c>
      <c r="V74" s="12"/>
      <c r="W74" s="20" t="s">
        <v>51</v>
      </c>
      <c r="X74" s="21" t="n">
        <v>0</v>
      </c>
      <c r="Y74" s="21" t="n">
        <v>0</v>
      </c>
      <c r="Z74" s="21" t="n">
        <v>815</v>
      </c>
      <c r="AA74" s="21" t="n">
        <v>815</v>
      </c>
    </row>
    <row r="75" customFormat="false" ht="138.05" hidden="false" customHeight="false" outlineLevel="0" collapsed="false">
      <c r="A75" s="10"/>
      <c r="B75" s="10"/>
      <c r="C75" s="10"/>
      <c r="D75" s="12"/>
      <c r="E75" s="10"/>
      <c r="F75" s="10" t="n">
        <v>91</v>
      </c>
      <c r="G75" s="30" t="s">
        <v>217</v>
      </c>
      <c r="H75" s="16" t="s">
        <v>301</v>
      </c>
      <c r="I75" s="29" t="s">
        <v>30</v>
      </c>
      <c r="J75" s="29" t="s">
        <v>207</v>
      </c>
      <c r="K75" s="31" t="s">
        <v>302</v>
      </c>
      <c r="L75" s="16" t="s">
        <v>303</v>
      </c>
      <c r="M75" s="20" t="n">
        <v>7000</v>
      </c>
      <c r="N75" s="17" t="s">
        <v>30</v>
      </c>
      <c r="O75" s="17" t="s">
        <v>207</v>
      </c>
      <c r="P75" s="26" t="s">
        <v>302</v>
      </c>
      <c r="Q75" s="18" t="s">
        <v>303</v>
      </c>
      <c r="R75" s="19" t="n">
        <v>7000</v>
      </c>
      <c r="S75" s="10"/>
      <c r="T75" s="19" t="n">
        <f aca="false">R75-M75</f>
        <v>0</v>
      </c>
      <c r="U75" s="19" t="n">
        <f aca="false">R75</f>
        <v>7000</v>
      </c>
      <c r="V75" s="12"/>
      <c r="W75" s="20" t="s">
        <v>51</v>
      </c>
      <c r="X75" s="21" t="n">
        <v>1750</v>
      </c>
      <c r="Y75" s="21" t="n">
        <v>1750</v>
      </c>
      <c r="Z75" s="21" t="n">
        <v>1750</v>
      </c>
      <c r="AA75" s="21" t="n">
        <v>1750</v>
      </c>
    </row>
    <row r="76" customFormat="false" ht="96.25" hidden="false" customHeight="false" outlineLevel="0" collapsed="false">
      <c r="A76" s="10"/>
      <c r="B76" s="10"/>
      <c r="C76" s="10"/>
      <c r="D76" s="12"/>
      <c r="E76" s="10"/>
      <c r="F76" s="10" t="n">
        <v>113</v>
      </c>
      <c r="G76" s="30" t="s">
        <v>217</v>
      </c>
      <c r="H76" s="16" t="s">
        <v>304</v>
      </c>
      <c r="I76" s="29" t="s">
        <v>30</v>
      </c>
      <c r="J76" s="29" t="s">
        <v>55</v>
      </c>
      <c r="K76" s="16" t="s">
        <v>305</v>
      </c>
      <c r="L76" s="16" t="s">
        <v>306</v>
      </c>
      <c r="M76" s="20" t="n">
        <v>18000</v>
      </c>
      <c r="N76" s="29" t="s">
        <v>30</v>
      </c>
      <c r="O76" s="29" t="s">
        <v>55</v>
      </c>
      <c r="P76" s="16" t="s">
        <v>305</v>
      </c>
      <c r="Q76" s="16" t="s">
        <v>306</v>
      </c>
      <c r="R76" s="19" t="n">
        <v>18000</v>
      </c>
      <c r="S76" s="10"/>
      <c r="T76" s="19" t="n">
        <f aca="false">R76-M76</f>
        <v>0</v>
      </c>
      <c r="U76" s="19" t="n">
        <f aca="false">R76</f>
        <v>18000</v>
      </c>
      <c r="V76" s="12"/>
      <c r="W76" s="20" t="s">
        <v>51</v>
      </c>
      <c r="X76" s="21" t="n">
        <v>4500</v>
      </c>
      <c r="Y76" s="21" t="n">
        <v>4500</v>
      </c>
      <c r="Z76" s="21" t="n">
        <v>4500</v>
      </c>
      <c r="AA76" s="21" t="n">
        <v>4500</v>
      </c>
    </row>
    <row r="77" customFormat="false" ht="97" hidden="false" customHeight="false" outlineLevel="0" collapsed="false">
      <c r="A77" s="10"/>
      <c r="B77" s="10"/>
      <c r="C77" s="10"/>
      <c r="D77" s="12"/>
      <c r="E77" s="10"/>
      <c r="F77" s="10" t="n">
        <v>137</v>
      </c>
      <c r="G77" s="30" t="s">
        <v>217</v>
      </c>
      <c r="H77" s="16" t="s">
        <v>218</v>
      </c>
      <c r="I77" s="29" t="s">
        <v>30</v>
      </c>
      <c r="J77" s="29" t="s">
        <v>291</v>
      </c>
      <c r="K77" s="16" t="s">
        <v>307</v>
      </c>
      <c r="L77" s="16" t="s">
        <v>308</v>
      </c>
      <c r="M77" s="20" t="n">
        <v>22800</v>
      </c>
      <c r="N77" s="29" t="s">
        <v>30</v>
      </c>
      <c r="O77" s="29" t="s">
        <v>291</v>
      </c>
      <c r="P77" s="16" t="s">
        <v>309</v>
      </c>
      <c r="Q77" s="16" t="s">
        <v>310</v>
      </c>
      <c r="R77" s="19" t="n">
        <v>3600</v>
      </c>
      <c r="S77" s="10"/>
      <c r="T77" s="19" t="n">
        <f aca="false">R77-M77</f>
        <v>-19200</v>
      </c>
      <c r="U77" s="19" t="n">
        <f aca="false">R77</f>
        <v>3600</v>
      </c>
      <c r="V77" s="12"/>
      <c r="W77" s="20" t="s">
        <v>110</v>
      </c>
      <c r="X77" s="20" t="n">
        <v>1800</v>
      </c>
      <c r="Y77" s="10"/>
      <c r="Z77" s="10"/>
      <c r="AA77" s="20" t="n">
        <v>1800</v>
      </c>
    </row>
    <row r="78" customFormat="false" ht="109.7" hidden="false" customHeight="false" outlineLevel="0" collapsed="false">
      <c r="A78" s="10"/>
      <c r="B78" s="10"/>
      <c r="C78" s="11" t="s">
        <v>34</v>
      </c>
      <c r="D78" s="12" t="s">
        <v>311</v>
      </c>
      <c r="E78" s="10"/>
      <c r="F78" s="10" t="n">
        <v>28</v>
      </c>
      <c r="G78" s="23" t="s">
        <v>312</v>
      </c>
      <c r="H78" s="12" t="s">
        <v>313</v>
      </c>
      <c r="I78" s="24" t="s">
        <v>26</v>
      </c>
      <c r="J78" s="24" t="s">
        <v>314</v>
      </c>
      <c r="K78" s="25" t="s">
        <v>315</v>
      </c>
      <c r="L78" s="25" t="s">
        <v>316</v>
      </c>
      <c r="M78" s="20" t="n">
        <v>1490724</v>
      </c>
      <c r="N78" s="17" t="s">
        <v>26</v>
      </c>
      <c r="O78" s="17" t="s">
        <v>314</v>
      </c>
      <c r="P78" s="18" t="s">
        <v>315</v>
      </c>
      <c r="Q78" s="18" t="s">
        <v>316</v>
      </c>
      <c r="R78" s="19" t="n">
        <v>1490724</v>
      </c>
      <c r="S78" s="10"/>
      <c r="T78" s="19" t="n">
        <f aca="false">R78-M78</f>
        <v>0</v>
      </c>
      <c r="U78" s="19" t="n">
        <v>1490724</v>
      </c>
      <c r="V78" s="12"/>
      <c r="W78" s="20" t="s">
        <v>51</v>
      </c>
      <c r="X78" s="21" t="n">
        <v>372681</v>
      </c>
      <c r="Y78" s="21" t="n">
        <v>372681</v>
      </c>
      <c r="Z78" s="21" t="n">
        <v>372681</v>
      </c>
      <c r="AA78" s="21" t="n">
        <v>372681</v>
      </c>
    </row>
    <row r="79" customFormat="false" ht="109.7" hidden="false" customHeight="false" outlineLevel="0" collapsed="false">
      <c r="A79" s="10"/>
      <c r="B79" s="10"/>
      <c r="C79" s="10"/>
      <c r="D79" s="12"/>
      <c r="E79" s="10"/>
      <c r="F79" s="10" t="n">
        <v>33</v>
      </c>
      <c r="G79" s="23" t="s">
        <v>312</v>
      </c>
      <c r="H79" s="12" t="s">
        <v>313</v>
      </c>
      <c r="I79" s="24" t="s">
        <v>26</v>
      </c>
      <c r="J79" s="24" t="s">
        <v>27</v>
      </c>
      <c r="K79" s="25" t="s">
        <v>317</v>
      </c>
      <c r="L79" s="16" t="s">
        <v>318</v>
      </c>
      <c r="M79" s="20" t="n">
        <v>99360</v>
      </c>
      <c r="N79" s="17" t="s">
        <v>26</v>
      </c>
      <c r="O79" s="17" t="s">
        <v>27</v>
      </c>
      <c r="P79" s="18" t="s">
        <v>317</v>
      </c>
      <c r="Q79" s="18" t="s">
        <v>319</v>
      </c>
      <c r="R79" s="19" t="n">
        <v>99360</v>
      </c>
      <c r="S79" s="10"/>
      <c r="T79" s="19" t="n">
        <f aca="false">R79-M79</f>
        <v>0</v>
      </c>
      <c r="U79" s="19" t="n">
        <v>99360</v>
      </c>
      <c r="V79" s="12"/>
      <c r="W79" s="20" t="s">
        <v>320</v>
      </c>
      <c r="X79" s="10"/>
      <c r="Y79" s="21" t="n">
        <v>99360</v>
      </c>
      <c r="Z79" s="10"/>
      <c r="AA79" s="10"/>
    </row>
    <row r="80" customFormat="false" ht="109.7" hidden="false" customHeight="false" outlineLevel="0" collapsed="false">
      <c r="A80" s="10"/>
      <c r="B80" s="10"/>
      <c r="C80" s="10"/>
      <c r="D80" s="12"/>
      <c r="E80" s="10"/>
      <c r="F80" s="10" t="n">
        <v>53</v>
      </c>
      <c r="G80" s="23" t="s">
        <v>312</v>
      </c>
      <c r="H80" s="12" t="s">
        <v>313</v>
      </c>
      <c r="I80" s="24" t="s">
        <v>26</v>
      </c>
      <c r="J80" s="24" t="s">
        <v>27</v>
      </c>
      <c r="K80" s="25" t="s">
        <v>321</v>
      </c>
      <c r="L80" s="16" t="s">
        <v>322</v>
      </c>
      <c r="M80" s="20" t="n">
        <v>50600</v>
      </c>
      <c r="N80" s="17" t="s">
        <v>26</v>
      </c>
      <c r="O80" s="17" t="s">
        <v>27</v>
      </c>
      <c r="P80" s="18" t="s">
        <v>321</v>
      </c>
      <c r="Q80" s="18" t="s">
        <v>323</v>
      </c>
      <c r="R80" s="19" t="n">
        <v>47700</v>
      </c>
      <c r="S80" s="10"/>
      <c r="T80" s="19" t="n">
        <f aca="false">R80-M80</f>
        <v>-2900</v>
      </c>
      <c r="U80" s="19" t="n">
        <v>47700</v>
      </c>
      <c r="V80" s="12"/>
      <c r="W80" s="20" t="s">
        <v>320</v>
      </c>
      <c r="X80" s="10"/>
      <c r="Y80" s="21" t="n">
        <v>47700</v>
      </c>
      <c r="Z80" s="10"/>
      <c r="AA80" s="10"/>
    </row>
    <row r="81" customFormat="false" ht="69.4" hidden="false" customHeight="false" outlineLevel="0" collapsed="false">
      <c r="A81" s="10"/>
      <c r="B81" s="10"/>
      <c r="C81" s="10"/>
      <c r="D81" s="12"/>
      <c r="E81" s="10"/>
      <c r="F81" s="10" t="n">
        <v>24</v>
      </c>
      <c r="G81" s="21" t="s">
        <v>324</v>
      </c>
      <c r="H81" s="13" t="s">
        <v>325</v>
      </c>
      <c r="I81" s="14" t="s">
        <v>26</v>
      </c>
      <c r="J81" s="14" t="s">
        <v>55</v>
      </c>
      <c r="K81" s="25" t="s">
        <v>326</v>
      </c>
      <c r="L81" s="16" t="s">
        <v>327</v>
      </c>
      <c r="M81" s="20" t="n">
        <v>5000</v>
      </c>
      <c r="N81" s="17" t="s">
        <v>26</v>
      </c>
      <c r="O81" s="24" t="s">
        <v>55</v>
      </c>
      <c r="P81" s="25" t="s">
        <v>326</v>
      </c>
      <c r="Q81" s="16" t="s">
        <v>327</v>
      </c>
      <c r="R81" s="19" t="n">
        <v>5000</v>
      </c>
      <c r="S81" s="19" t="n">
        <f aca="false">R81-M81</f>
        <v>0</v>
      </c>
      <c r="T81" s="10"/>
      <c r="U81" s="19" t="n">
        <v>5000</v>
      </c>
      <c r="V81" s="12"/>
      <c r="W81" s="20" t="s">
        <v>33</v>
      </c>
      <c r="X81" s="10"/>
      <c r="Y81" s="10"/>
      <c r="Z81" s="20" t="n">
        <v>5000</v>
      </c>
      <c r="AA81" s="10"/>
    </row>
    <row r="82" customFormat="false" ht="70.85" hidden="false" customHeight="false" outlineLevel="0" collapsed="false">
      <c r="A82" s="10"/>
      <c r="B82" s="10"/>
      <c r="C82" s="10"/>
      <c r="D82" s="12"/>
      <c r="E82" s="10"/>
      <c r="F82" s="10" t="n">
        <v>25</v>
      </c>
      <c r="G82" s="21" t="s">
        <v>324</v>
      </c>
      <c r="H82" s="13" t="s">
        <v>325</v>
      </c>
      <c r="I82" s="14" t="s">
        <v>26</v>
      </c>
      <c r="J82" s="14" t="s">
        <v>55</v>
      </c>
      <c r="K82" s="12" t="s">
        <v>328</v>
      </c>
      <c r="L82" s="27" t="s">
        <v>329</v>
      </c>
      <c r="M82" s="20" t="n">
        <v>1000</v>
      </c>
      <c r="N82" s="17" t="s">
        <v>26</v>
      </c>
      <c r="O82" s="24" t="s">
        <v>55</v>
      </c>
      <c r="P82" s="12" t="s">
        <v>328</v>
      </c>
      <c r="Q82" s="27" t="s">
        <v>329</v>
      </c>
      <c r="R82" s="19" t="n">
        <v>1000</v>
      </c>
      <c r="S82" s="19" t="n">
        <f aca="false">R82-M82</f>
        <v>0</v>
      </c>
      <c r="T82" s="10"/>
      <c r="U82" s="19" t="n">
        <v>1000</v>
      </c>
      <c r="V82" s="12"/>
      <c r="W82" s="20" t="s">
        <v>51</v>
      </c>
      <c r="X82" s="10"/>
      <c r="Y82" s="10"/>
      <c r="Z82" s="10"/>
      <c r="AA82" s="20" t="n">
        <v>1000</v>
      </c>
    </row>
    <row r="83" customFormat="false" ht="97" hidden="false" customHeight="false" outlineLevel="0" collapsed="false">
      <c r="A83" s="10"/>
      <c r="B83" s="10"/>
      <c r="C83" s="10"/>
      <c r="D83" s="12"/>
      <c r="E83" s="10"/>
      <c r="F83" s="10" t="n">
        <v>36</v>
      </c>
      <c r="G83" s="21" t="s">
        <v>324</v>
      </c>
      <c r="H83" s="13" t="s">
        <v>330</v>
      </c>
      <c r="I83" s="24" t="s">
        <v>26</v>
      </c>
      <c r="J83" s="24" t="s">
        <v>55</v>
      </c>
      <c r="K83" s="12" t="s">
        <v>331</v>
      </c>
      <c r="L83" s="16" t="s">
        <v>332</v>
      </c>
      <c r="M83" s="20" t="n">
        <v>5000</v>
      </c>
      <c r="N83" s="24" t="s">
        <v>26</v>
      </c>
      <c r="O83" s="24" t="s">
        <v>55</v>
      </c>
      <c r="P83" s="12" t="s">
        <v>331</v>
      </c>
      <c r="Q83" s="16" t="s">
        <v>332</v>
      </c>
      <c r="R83" s="19" t="n">
        <v>5000</v>
      </c>
      <c r="S83" s="19" t="n">
        <f aca="false">R83-M83</f>
        <v>0</v>
      </c>
      <c r="T83" s="10"/>
      <c r="U83" s="19" t="n">
        <v>5000</v>
      </c>
      <c r="V83" s="12"/>
      <c r="W83" s="20" t="s">
        <v>51</v>
      </c>
      <c r="X83" s="10"/>
      <c r="Y83" s="20" t="n">
        <v>2000</v>
      </c>
      <c r="Z83" s="20" t="n">
        <v>3000</v>
      </c>
      <c r="AA83" s="10"/>
    </row>
    <row r="84" customFormat="false" ht="127.6" hidden="false" customHeight="false" outlineLevel="0" collapsed="false">
      <c r="A84" s="10"/>
      <c r="B84" s="10"/>
      <c r="C84" s="10"/>
      <c r="D84" s="12"/>
      <c r="E84" s="10"/>
      <c r="F84" s="10" t="n">
        <v>37</v>
      </c>
      <c r="G84" s="21" t="s">
        <v>324</v>
      </c>
      <c r="H84" s="13" t="s">
        <v>330</v>
      </c>
      <c r="I84" s="24" t="s">
        <v>26</v>
      </c>
      <c r="J84" s="24" t="s">
        <v>55</v>
      </c>
      <c r="K84" s="12" t="s">
        <v>333</v>
      </c>
      <c r="L84" s="16" t="s">
        <v>334</v>
      </c>
      <c r="M84" s="20" t="n">
        <v>142500</v>
      </c>
      <c r="N84" s="24" t="s">
        <v>26</v>
      </c>
      <c r="O84" s="24" t="s">
        <v>55</v>
      </c>
      <c r="P84" s="12" t="s">
        <v>333</v>
      </c>
      <c r="Q84" s="16" t="s">
        <v>334</v>
      </c>
      <c r="R84" s="19" t="n">
        <v>142500</v>
      </c>
      <c r="S84" s="19" t="n">
        <f aca="false">R84-M84</f>
        <v>0</v>
      </c>
      <c r="T84" s="10"/>
      <c r="U84" s="19" t="n">
        <v>142500</v>
      </c>
      <c r="V84" s="12"/>
      <c r="W84" s="20" t="s">
        <v>51</v>
      </c>
      <c r="X84" s="20" t="n">
        <v>30000</v>
      </c>
      <c r="Y84" s="20" t="n">
        <v>30000</v>
      </c>
      <c r="Z84" s="20" t="n">
        <v>41250</v>
      </c>
      <c r="AA84" s="20" t="n">
        <v>41250</v>
      </c>
    </row>
    <row r="85" customFormat="false" ht="82.8" hidden="false" customHeight="false" outlineLevel="0" collapsed="false">
      <c r="A85" s="10"/>
      <c r="B85" s="10"/>
      <c r="C85" s="10"/>
      <c r="D85" s="12"/>
      <c r="E85" s="10"/>
      <c r="F85" s="10" t="n">
        <v>40</v>
      </c>
      <c r="G85" s="21" t="s">
        <v>324</v>
      </c>
      <c r="H85" s="13" t="s">
        <v>330</v>
      </c>
      <c r="I85" s="24" t="s">
        <v>26</v>
      </c>
      <c r="J85" s="24" t="s">
        <v>55</v>
      </c>
      <c r="K85" s="12" t="s">
        <v>335</v>
      </c>
      <c r="L85" s="16" t="s">
        <v>336</v>
      </c>
      <c r="M85" s="20" t="n">
        <v>6000</v>
      </c>
      <c r="N85" s="24" t="s">
        <v>26</v>
      </c>
      <c r="O85" s="24" t="s">
        <v>55</v>
      </c>
      <c r="P85" s="12" t="s">
        <v>335</v>
      </c>
      <c r="Q85" s="16" t="s">
        <v>336</v>
      </c>
      <c r="R85" s="19" t="n">
        <v>6000</v>
      </c>
      <c r="S85" s="19" t="n">
        <f aca="false">R85-M85</f>
        <v>0</v>
      </c>
      <c r="T85" s="10"/>
      <c r="U85" s="19" t="n">
        <v>6000</v>
      </c>
      <c r="V85" s="12"/>
      <c r="W85" s="20" t="s">
        <v>51</v>
      </c>
      <c r="X85" s="20" t="n">
        <v>1500</v>
      </c>
      <c r="Y85" s="20" t="n">
        <v>1500</v>
      </c>
      <c r="Z85" s="20" t="n">
        <v>1500</v>
      </c>
      <c r="AA85" s="20" t="n">
        <v>1500</v>
      </c>
    </row>
    <row r="86" customFormat="false" ht="82.8" hidden="false" customHeight="false" outlineLevel="0" collapsed="false">
      <c r="A86" s="10"/>
      <c r="B86" s="10"/>
      <c r="C86" s="10"/>
      <c r="D86" s="12"/>
      <c r="E86" s="10"/>
      <c r="F86" s="10" t="n">
        <v>41</v>
      </c>
      <c r="G86" s="21" t="s">
        <v>324</v>
      </c>
      <c r="H86" s="13" t="s">
        <v>330</v>
      </c>
      <c r="I86" s="24" t="s">
        <v>26</v>
      </c>
      <c r="J86" s="24" t="s">
        <v>55</v>
      </c>
      <c r="K86" s="12" t="s">
        <v>337</v>
      </c>
      <c r="L86" s="16" t="s">
        <v>338</v>
      </c>
      <c r="M86" s="20" t="n">
        <v>50000</v>
      </c>
      <c r="N86" s="24" t="s">
        <v>26</v>
      </c>
      <c r="O86" s="24" t="s">
        <v>55</v>
      </c>
      <c r="P86" s="12" t="s">
        <v>337</v>
      </c>
      <c r="Q86" s="16" t="s">
        <v>338</v>
      </c>
      <c r="R86" s="19" t="n">
        <v>50000</v>
      </c>
      <c r="S86" s="19" t="n">
        <f aca="false">R86-M86</f>
        <v>0</v>
      </c>
      <c r="T86" s="10"/>
      <c r="U86" s="19" t="n">
        <v>50000</v>
      </c>
      <c r="V86" s="12"/>
      <c r="W86" s="20" t="s">
        <v>51</v>
      </c>
      <c r="X86" s="10"/>
      <c r="Y86" s="10"/>
      <c r="Z86" s="20" t="n">
        <v>50000</v>
      </c>
      <c r="AA86" s="10"/>
    </row>
    <row r="87" customFormat="false" ht="96.25" hidden="false" customHeight="false" outlineLevel="0" collapsed="false">
      <c r="A87" s="10"/>
      <c r="B87" s="10"/>
      <c r="C87" s="10"/>
      <c r="D87" s="12"/>
      <c r="E87" s="10"/>
      <c r="F87" s="10" t="n">
        <v>42</v>
      </c>
      <c r="G87" s="21" t="s">
        <v>324</v>
      </c>
      <c r="H87" s="13" t="s">
        <v>330</v>
      </c>
      <c r="I87" s="24" t="s">
        <v>26</v>
      </c>
      <c r="J87" s="24" t="s">
        <v>55</v>
      </c>
      <c r="K87" s="12" t="s">
        <v>339</v>
      </c>
      <c r="L87" s="16" t="s">
        <v>338</v>
      </c>
      <c r="M87" s="20" t="n">
        <v>50000</v>
      </c>
      <c r="N87" s="24" t="s">
        <v>26</v>
      </c>
      <c r="O87" s="24" t="s">
        <v>55</v>
      </c>
      <c r="P87" s="12" t="s">
        <v>339</v>
      </c>
      <c r="Q87" s="16" t="s">
        <v>338</v>
      </c>
      <c r="R87" s="19" t="n">
        <v>50000</v>
      </c>
      <c r="S87" s="19" t="n">
        <f aca="false">R87-M87</f>
        <v>0</v>
      </c>
      <c r="T87" s="10"/>
      <c r="U87" s="19" t="n">
        <v>50000</v>
      </c>
      <c r="V87" s="12"/>
      <c r="W87" s="20" t="s">
        <v>51</v>
      </c>
      <c r="X87" s="10"/>
      <c r="Y87" s="10"/>
      <c r="Z87" s="10"/>
      <c r="AA87" s="20" t="n">
        <v>50000</v>
      </c>
    </row>
    <row r="88" customFormat="false" ht="82.8" hidden="false" customHeight="false" outlineLevel="0" collapsed="false">
      <c r="A88" s="10"/>
      <c r="B88" s="10"/>
      <c r="C88" s="10"/>
      <c r="D88" s="12"/>
      <c r="E88" s="10"/>
      <c r="F88" s="10" t="n">
        <v>43</v>
      </c>
      <c r="G88" s="21" t="s">
        <v>324</v>
      </c>
      <c r="H88" s="13" t="s">
        <v>330</v>
      </c>
      <c r="I88" s="24" t="s">
        <v>26</v>
      </c>
      <c r="J88" s="24" t="s">
        <v>55</v>
      </c>
      <c r="K88" s="12" t="s">
        <v>340</v>
      </c>
      <c r="L88" s="16" t="s">
        <v>341</v>
      </c>
      <c r="M88" s="20" t="n">
        <v>30000</v>
      </c>
      <c r="N88" s="24" t="s">
        <v>26</v>
      </c>
      <c r="O88" s="24" t="s">
        <v>55</v>
      </c>
      <c r="P88" s="12" t="s">
        <v>340</v>
      </c>
      <c r="Q88" s="16" t="s">
        <v>341</v>
      </c>
      <c r="R88" s="19" t="n">
        <v>30000</v>
      </c>
      <c r="S88" s="19" t="n">
        <f aca="false">R88-M88</f>
        <v>0</v>
      </c>
      <c r="T88" s="10"/>
      <c r="U88" s="19" t="n">
        <v>30000</v>
      </c>
      <c r="V88" s="12"/>
      <c r="W88" s="20" t="s">
        <v>51</v>
      </c>
      <c r="X88" s="10"/>
      <c r="Y88" s="10"/>
      <c r="Z88" s="10"/>
      <c r="AA88" s="20" t="n">
        <v>30000</v>
      </c>
    </row>
    <row r="89" customFormat="false" ht="82.8" hidden="false" customHeight="false" outlineLevel="0" collapsed="false">
      <c r="A89" s="10"/>
      <c r="B89" s="10"/>
      <c r="C89" s="10"/>
      <c r="D89" s="12"/>
      <c r="E89" s="10"/>
      <c r="F89" s="10" t="n">
        <v>44</v>
      </c>
      <c r="G89" s="21" t="s">
        <v>324</v>
      </c>
      <c r="H89" s="13" t="s">
        <v>330</v>
      </c>
      <c r="I89" s="24" t="s">
        <v>26</v>
      </c>
      <c r="J89" s="24" t="s">
        <v>55</v>
      </c>
      <c r="K89" s="12" t="s">
        <v>342</v>
      </c>
      <c r="L89" s="16" t="s">
        <v>343</v>
      </c>
      <c r="M89" s="20" t="n">
        <v>20000</v>
      </c>
      <c r="N89" s="24" t="s">
        <v>26</v>
      </c>
      <c r="O89" s="24" t="s">
        <v>55</v>
      </c>
      <c r="P89" s="12" t="s">
        <v>342</v>
      </c>
      <c r="Q89" s="16" t="s">
        <v>343</v>
      </c>
      <c r="R89" s="19" t="n">
        <v>20000</v>
      </c>
      <c r="S89" s="19" t="n">
        <f aca="false">R89-M89</f>
        <v>0</v>
      </c>
      <c r="T89" s="10"/>
      <c r="U89" s="19" t="n">
        <v>20000</v>
      </c>
      <c r="V89" s="12"/>
      <c r="W89" s="20" t="s">
        <v>51</v>
      </c>
      <c r="X89" s="10"/>
      <c r="Y89" s="20" t="n">
        <v>5000</v>
      </c>
      <c r="Z89" s="20" t="n">
        <v>10000</v>
      </c>
      <c r="AA89" s="20" t="n">
        <v>5000</v>
      </c>
    </row>
    <row r="90" customFormat="false" ht="198.5" hidden="false" customHeight="false" outlineLevel="0" collapsed="false">
      <c r="A90" s="10"/>
      <c r="B90" s="10"/>
      <c r="C90" s="10"/>
      <c r="D90" s="12"/>
      <c r="E90" s="10"/>
      <c r="F90" s="10" t="n">
        <v>46</v>
      </c>
      <c r="G90" s="21" t="s">
        <v>324</v>
      </c>
      <c r="H90" s="13" t="s">
        <v>330</v>
      </c>
      <c r="I90" s="24" t="s">
        <v>26</v>
      </c>
      <c r="J90" s="24" t="s">
        <v>55</v>
      </c>
      <c r="K90" s="12" t="s">
        <v>344</v>
      </c>
      <c r="L90" s="16" t="s">
        <v>345</v>
      </c>
      <c r="M90" s="20" t="n">
        <v>19000</v>
      </c>
      <c r="N90" s="24" t="s">
        <v>26</v>
      </c>
      <c r="O90" s="24" t="s">
        <v>55</v>
      </c>
      <c r="P90" s="12" t="s">
        <v>344</v>
      </c>
      <c r="Q90" s="16" t="s">
        <v>346</v>
      </c>
      <c r="R90" s="19" t="n">
        <v>19000</v>
      </c>
      <c r="S90" s="19" t="n">
        <f aca="false">R90-M90</f>
        <v>0</v>
      </c>
      <c r="T90" s="10"/>
      <c r="U90" s="19" t="n">
        <v>19000</v>
      </c>
      <c r="V90" s="12"/>
      <c r="W90" s="20" t="s">
        <v>51</v>
      </c>
      <c r="X90" s="10"/>
      <c r="Y90" s="10"/>
      <c r="Z90" s="20" t="n">
        <v>10000</v>
      </c>
      <c r="AA90" s="20" t="n">
        <v>9000</v>
      </c>
    </row>
    <row r="91" customFormat="false" ht="125.35" hidden="false" customHeight="false" outlineLevel="0" collapsed="false">
      <c r="A91" s="10"/>
      <c r="B91" s="10"/>
      <c r="C91" s="10"/>
      <c r="D91" s="12"/>
      <c r="E91" s="10"/>
      <c r="F91" s="10" t="n">
        <v>51</v>
      </c>
      <c r="G91" s="21" t="s">
        <v>324</v>
      </c>
      <c r="H91" s="13" t="s">
        <v>347</v>
      </c>
      <c r="I91" s="14" t="s">
        <v>26</v>
      </c>
      <c r="J91" s="14" t="s">
        <v>55</v>
      </c>
      <c r="K91" s="12" t="s">
        <v>348</v>
      </c>
      <c r="L91" s="27" t="s">
        <v>349</v>
      </c>
      <c r="M91" s="20" t="n">
        <v>10000</v>
      </c>
      <c r="N91" s="24" t="s">
        <v>26</v>
      </c>
      <c r="O91" s="24" t="s">
        <v>55</v>
      </c>
      <c r="P91" s="12" t="s">
        <v>348</v>
      </c>
      <c r="Q91" s="27" t="s">
        <v>349</v>
      </c>
      <c r="R91" s="19" t="n">
        <v>10000</v>
      </c>
      <c r="S91" s="19" t="n">
        <f aca="false">R91-M91</f>
        <v>0</v>
      </c>
      <c r="T91" s="10"/>
      <c r="U91" s="19" t="n">
        <v>10000</v>
      </c>
      <c r="V91" s="12"/>
      <c r="W91" s="20" t="s">
        <v>51</v>
      </c>
      <c r="X91" s="10"/>
      <c r="Y91" s="10"/>
      <c r="Z91" s="10"/>
      <c r="AA91" s="20" t="n">
        <v>10000</v>
      </c>
    </row>
    <row r="92" customFormat="false" ht="83.55" hidden="false" customHeight="false" outlineLevel="0" collapsed="false">
      <c r="A92" s="10"/>
      <c r="B92" s="10"/>
      <c r="C92" s="10"/>
      <c r="D92" s="12"/>
      <c r="E92" s="10"/>
      <c r="F92" s="10" t="n">
        <v>78</v>
      </c>
      <c r="G92" s="21" t="s">
        <v>324</v>
      </c>
      <c r="H92" s="12" t="s">
        <v>350</v>
      </c>
      <c r="I92" s="24" t="s">
        <v>26</v>
      </c>
      <c r="J92" s="29" t="s">
        <v>55</v>
      </c>
      <c r="K92" s="12" t="s">
        <v>351</v>
      </c>
      <c r="L92" s="27" t="s">
        <v>352</v>
      </c>
      <c r="M92" s="20" t="n">
        <v>3500</v>
      </c>
      <c r="N92" s="24" t="s">
        <v>26</v>
      </c>
      <c r="O92" s="29" t="s">
        <v>55</v>
      </c>
      <c r="P92" s="12" t="s">
        <v>351</v>
      </c>
      <c r="Q92" s="27" t="s">
        <v>352</v>
      </c>
      <c r="R92" s="19" t="n">
        <v>3500</v>
      </c>
      <c r="S92" s="19" t="n">
        <f aca="false">R92-M92</f>
        <v>0</v>
      </c>
      <c r="T92" s="10"/>
      <c r="U92" s="19" t="n">
        <v>3500</v>
      </c>
      <c r="V92" s="12"/>
      <c r="W92" s="20" t="s">
        <v>51</v>
      </c>
      <c r="X92" s="10"/>
      <c r="Y92" s="10"/>
      <c r="Z92" s="10"/>
      <c r="AA92" s="20" t="n">
        <v>3500</v>
      </c>
    </row>
    <row r="93" customFormat="false" ht="70.1" hidden="false" customHeight="false" outlineLevel="0" collapsed="false">
      <c r="A93" s="10"/>
      <c r="B93" s="10"/>
      <c r="C93" s="10"/>
      <c r="D93" s="12"/>
      <c r="E93" s="10"/>
      <c r="F93" s="10" t="n">
        <v>82</v>
      </c>
      <c r="G93" s="21" t="s">
        <v>324</v>
      </c>
      <c r="H93" s="12" t="s">
        <v>350</v>
      </c>
      <c r="I93" s="24" t="s">
        <v>26</v>
      </c>
      <c r="J93" s="24" t="s">
        <v>27</v>
      </c>
      <c r="K93" s="12" t="s">
        <v>353</v>
      </c>
      <c r="L93" s="27" t="s">
        <v>193</v>
      </c>
      <c r="M93" s="20" t="n">
        <v>2000</v>
      </c>
      <c r="N93" s="24" t="s">
        <v>26</v>
      </c>
      <c r="O93" s="24" t="s">
        <v>176</v>
      </c>
      <c r="P93" s="12" t="s">
        <v>353</v>
      </c>
      <c r="Q93" s="27" t="s">
        <v>193</v>
      </c>
      <c r="R93" s="19" t="n">
        <v>2000</v>
      </c>
      <c r="S93" s="19" t="n">
        <f aca="false">R93-M93</f>
        <v>0</v>
      </c>
      <c r="T93" s="10"/>
      <c r="U93" s="19" t="n">
        <v>2000</v>
      </c>
      <c r="V93" s="13" t="s">
        <v>354</v>
      </c>
      <c r="W93" s="20" t="s">
        <v>51</v>
      </c>
      <c r="X93" s="10"/>
      <c r="Y93" s="10"/>
      <c r="Z93" s="10"/>
      <c r="AA93" s="20" t="n">
        <v>2000</v>
      </c>
    </row>
    <row r="94" customFormat="false" ht="82.8" hidden="false" customHeight="false" outlineLevel="0" collapsed="false">
      <c r="A94" s="10"/>
      <c r="B94" s="10"/>
      <c r="C94" s="10"/>
      <c r="D94" s="12"/>
      <c r="E94" s="10"/>
      <c r="F94" s="10" t="n">
        <v>84</v>
      </c>
      <c r="G94" s="21" t="s">
        <v>324</v>
      </c>
      <c r="H94" s="13" t="s">
        <v>330</v>
      </c>
      <c r="I94" s="24" t="s">
        <v>26</v>
      </c>
      <c r="J94" s="24" t="s">
        <v>355</v>
      </c>
      <c r="K94" s="12" t="s">
        <v>356</v>
      </c>
      <c r="L94" s="16" t="s">
        <v>357</v>
      </c>
      <c r="M94" s="20" t="n">
        <v>26200</v>
      </c>
      <c r="N94" s="24" t="s">
        <v>26</v>
      </c>
      <c r="O94" s="24" t="s">
        <v>355</v>
      </c>
      <c r="P94" s="12" t="s">
        <v>356</v>
      </c>
      <c r="Q94" s="16" t="s">
        <v>358</v>
      </c>
      <c r="R94" s="19" t="n">
        <v>26100</v>
      </c>
      <c r="S94" s="19" t="n">
        <f aca="false">R94-M94</f>
        <v>-100</v>
      </c>
      <c r="T94" s="10"/>
      <c r="U94" s="19" t="n">
        <v>26100</v>
      </c>
      <c r="V94" s="22" t="s">
        <v>359</v>
      </c>
      <c r="W94" s="20" t="s">
        <v>51</v>
      </c>
      <c r="X94" s="20" t="n">
        <v>6525</v>
      </c>
      <c r="Y94" s="20" t="n">
        <v>6525</v>
      </c>
      <c r="Z94" s="20" t="n">
        <v>6525</v>
      </c>
      <c r="AA94" s="20" t="n">
        <v>6525</v>
      </c>
    </row>
    <row r="95" customFormat="false" ht="109.7" hidden="false" customHeight="false" outlineLevel="0" collapsed="false">
      <c r="A95" s="10"/>
      <c r="B95" s="10"/>
      <c r="C95" s="10"/>
      <c r="D95" s="12"/>
      <c r="E95" s="10"/>
      <c r="F95" s="10" t="n">
        <v>86</v>
      </c>
      <c r="G95" s="21" t="s">
        <v>324</v>
      </c>
      <c r="H95" s="13" t="s">
        <v>347</v>
      </c>
      <c r="I95" s="14" t="s">
        <v>26</v>
      </c>
      <c r="J95" s="29" t="s">
        <v>55</v>
      </c>
      <c r="K95" s="12" t="s">
        <v>360</v>
      </c>
      <c r="L95" s="27" t="s">
        <v>361</v>
      </c>
      <c r="M95" s="20" t="n">
        <v>24000</v>
      </c>
      <c r="N95" s="24" t="s">
        <v>26</v>
      </c>
      <c r="O95" s="29" t="s">
        <v>55</v>
      </c>
      <c r="P95" s="12" t="s">
        <v>360</v>
      </c>
      <c r="Q95" s="27" t="s">
        <v>362</v>
      </c>
      <c r="R95" s="19" t="n">
        <v>19575</v>
      </c>
      <c r="S95" s="19" t="n">
        <f aca="false">R95-M95</f>
        <v>-4425</v>
      </c>
      <c r="T95" s="10"/>
      <c r="U95" s="19" t="n">
        <v>19575</v>
      </c>
      <c r="V95" s="22" t="s">
        <v>363</v>
      </c>
      <c r="W95" s="20" t="s">
        <v>51</v>
      </c>
      <c r="X95" s="10"/>
      <c r="Y95" s="20" t="n">
        <v>9575</v>
      </c>
      <c r="Z95" s="10"/>
      <c r="AA95" s="20" t="n">
        <v>10000</v>
      </c>
    </row>
    <row r="96" customFormat="false" ht="82.8" hidden="false" customHeight="false" outlineLevel="0" collapsed="false">
      <c r="A96" s="10"/>
      <c r="B96" s="10"/>
      <c r="C96" s="10"/>
      <c r="D96" s="12"/>
      <c r="E96" s="10"/>
      <c r="F96" s="10" t="n">
        <v>87</v>
      </c>
      <c r="G96" s="21" t="s">
        <v>324</v>
      </c>
      <c r="H96" s="13" t="s">
        <v>330</v>
      </c>
      <c r="I96" s="24" t="s">
        <v>26</v>
      </c>
      <c r="J96" s="24" t="s">
        <v>55</v>
      </c>
      <c r="K96" s="12" t="s">
        <v>364</v>
      </c>
      <c r="L96" s="16" t="s">
        <v>365</v>
      </c>
      <c r="M96" s="20" t="n">
        <v>32120</v>
      </c>
      <c r="N96" s="24" t="s">
        <v>26</v>
      </c>
      <c r="O96" s="24" t="s">
        <v>55</v>
      </c>
      <c r="P96" s="12" t="s">
        <v>364</v>
      </c>
      <c r="Q96" s="16" t="s">
        <v>366</v>
      </c>
      <c r="R96" s="19" t="n">
        <v>19690</v>
      </c>
      <c r="S96" s="19" t="n">
        <f aca="false">R96-M96</f>
        <v>-12430</v>
      </c>
      <c r="T96" s="10"/>
      <c r="U96" s="19" t="n">
        <v>19690</v>
      </c>
      <c r="V96" s="22" t="s">
        <v>367</v>
      </c>
      <c r="W96" s="20" t="s">
        <v>51</v>
      </c>
      <c r="X96" s="10"/>
      <c r="Y96" s="10"/>
      <c r="Z96" s="10"/>
      <c r="AA96" s="20" t="n">
        <v>19690</v>
      </c>
    </row>
    <row r="97" customFormat="false" ht="227.6" hidden="false" customHeight="false" outlineLevel="0" collapsed="false">
      <c r="A97" s="10"/>
      <c r="B97" s="10"/>
      <c r="C97" s="10"/>
      <c r="D97" s="12"/>
      <c r="E97" s="10"/>
      <c r="F97" s="10" t="n">
        <v>88</v>
      </c>
      <c r="G97" s="21" t="s">
        <v>324</v>
      </c>
      <c r="H97" s="13" t="s">
        <v>330</v>
      </c>
      <c r="I97" s="24" t="s">
        <v>26</v>
      </c>
      <c r="J97" s="24" t="s">
        <v>55</v>
      </c>
      <c r="K97" s="12" t="s">
        <v>368</v>
      </c>
      <c r="L97" s="27" t="s">
        <v>369</v>
      </c>
      <c r="M97" s="20" t="n">
        <v>163200</v>
      </c>
      <c r="N97" s="24" t="s">
        <v>26</v>
      </c>
      <c r="O97" s="24" t="s">
        <v>55</v>
      </c>
      <c r="P97" s="12" t="s">
        <v>368</v>
      </c>
      <c r="Q97" s="27" t="s">
        <v>370</v>
      </c>
      <c r="R97" s="19" t="n">
        <v>71200</v>
      </c>
      <c r="S97" s="19" t="n">
        <f aca="false">R97-M97</f>
        <v>-92000</v>
      </c>
      <c r="T97" s="10"/>
      <c r="U97" s="19" t="n">
        <v>71200</v>
      </c>
      <c r="V97" s="13" t="s">
        <v>371</v>
      </c>
      <c r="W97" s="20" t="s">
        <v>51</v>
      </c>
      <c r="X97" s="10"/>
      <c r="Y97" s="10"/>
      <c r="Z97" s="20" t="n">
        <v>30000</v>
      </c>
      <c r="AA97" s="20" t="n">
        <v>41200</v>
      </c>
    </row>
    <row r="98" customFormat="false" ht="97" hidden="false" customHeight="false" outlineLevel="0" collapsed="false">
      <c r="A98" s="10"/>
      <c r="B98" s="10"/>
      <c r="C98" s="10"/>
      <c r="D98" s="12"/>
      <c r="E98" s="10"/>
      <c r="F98" s="10" t="n">
        <v>8</v>
      </c>
      <c r="G98" s="23" t="s">
        <v>372</v>
      </c>
      <c r="H98" s="13" t="s">
        <v>373</v>
      </c>
      <c r="I98" s="24" t="s">
        <v>26</v>
      </c>
      <c r="J98" s="24" t="s">
        <v>55</v>
      </c>
      <c r="K98" s="12"/>
      <c r="L98" s="12"/>
      <c r="M98" s="10"/>
      <c r="N98" s="17" t="s">
        <v>26</v>
      </c>
      <c r="O98" s="17" t="s">
        <v>55</v>
      </c>
      <c r="P98" s="25" t="s">
        <v>374</v>
      </c>
      <c r="Q98" s="16" t="s">
        <v>375</v>
      </c>
      <c r="R98" s="19" t="n">
        <v>3000</v>
      </c>
      <c r="S98" s="10"/>
      <c r="T98" s="19" t="n">
        <f aca="false">R98-M98</f>
        <v>3000</v>
      </c>
      <c r="U98" s="19" t="n">
        <f aca="false">R98</f>
        <v>3000</v>
      </c>
      <c r="V98" s="22" t="s">
        <v>376</v>
      </c>
      <c r="W98" s="20" t="s">
        <v>110</v>
      </c>
      <c r="X98" s="21" t="n">
        <v>0</v>
      </c>
      <c r="Y98" s="21" t="n">
        <v>1500</v>
      </c>
      <c r="Z98" s="21" t="n">
        <v>1500</v>
      </c>
      <c r="AA98" s="21" t="n">
        <v>0</v>
      </c>
    </row>
    <row r="99" customFormat="false" ht="424.6" hidden="false" customHeight="false" outlineLevel="0" collapsed="false">
      <c r="A99" s="10"/>
      <c r="B99" s="10"/>
      <c r="C99" s="11" t="s">
        <v>22</v>
      </c>
      <c r="D99" s="12" t="s">
        <v>89</v>
      </c>
      <c r="E99" s="10"/>
      <c r="F99" s="10" t="n">
        <v>7</v>
      </c>
      <c r="G99" s="10" t="s">
        <v>377</v>
      </c>
      <c r="H99" s="12" t="s">
        <v>378</v>
      </c>
      <c r="I99" s="14" t="s">
        <v>30</v>
      </c>
      <c r="J99" s="14" t="s">
        <v>86</v>
      </c>
      <c r="K99" s="12" t="s">
        <v>379</v>
      </c>
      <c r="L99" s="16" t="s">
        <v>380</v>
      </c>
      <c r="M99" s="10" t="n">
        <v>1600</v>
      </c>
      <c r="N99" s="17" t="s">
        <v>30</v>
      </c>
      <c r="O99" s="17" t="s">
        <v>46</v>
      </c>
      <c r="P99" s="18" t="s">
        <v>379</v>
      </c>
      <c r="Q99" s="18" t="s">
        <v>381</v>
      </c>
      <c r="R99" s="19" t="n">
        <v>5600</v>
      </c>
      <c r="S99" s="10"/>
      <c r="T99" s="19" t="n">
        <f aca="false">R99-M99</f>
        <v>4000</v>
      </c>
      <c r="U99" s="19" t="n">
        <f aca="false">R99</f>
        <v>5600</v>
      </c>
      <c r="V99" s="22" t="s">
        <v>382</v>
      </c>
      <c r="W99" s="20" t="s">
        <v>51</v>
      </c>
      <c r="X99" s="21" t="n">
        <v>0</v>
      </c>
      <c r="Y99" s="21" t="n">
        <v>0</v>
      </c>
      <c r="Z99" s="21" t="n">
        <v>0</v>
      </c>
      <c r="AA99" s="21" t="n">
        <v>5600</v>
      </c>
    </row>
    <row r="100" customFormat="false" ht="185.8" hidden="false" customHeight="false" outlineLevel="0" collapsed="false">
      <c r="A100" s="10"/>
      <c r="B100" s="10"/>
      <c r="C100" s="11" t="s">
        <v>22</v>
      </c>
      <c r="D100" s="12" t="s">
        <v>89</v>
      </c>
      <c r="E100" s="10"/>
      <c r="F100" s="10" t="n">
        <v>16</v>
      </c>
      <c r="G100" s="10" t="s">
        <v>377</v>
      </c>
      <c r="H100" s="12" t="s">
        <v>378</v>
      </c>
      <c r="I100" s="14" t="s">
        <v>30</v>
      </c>
      <c r="J100" s="14" t="s">
        <v>86</v>
      </c>
      <c r="K100" s="12" t="s">
        <v>383</v>
      </c>
      <c r="L100" s="16" t="s">
        <v>384</v>
      </c>
      <c r="M100" s="10" t="n">
        <v>800</v>
      </c>
      <c r="N100" s="17" t="s">
        <v>30</v>
      </c>
      <c r="O100" s="17" t="s">
        <v>46</v>
      </c>
      <c r="P100" s="18" t="s">
        <v>383</v>
      </c>
      <c r="Q100" s="18" t="s">
        <v>385</v>
      </c>
      <c r="R100" s="19" t="n">
        <v>805</v>
      </c>
      <c r="S100" s="10"/>
      <c r="T100" s="19" t="n">
        <f aca="false">R100-M100</f>
        <v>5</v>
      </c>
      <c r="U100" s="19" t="n">
        <f aca="false">R100</f>
        <v>805</v>
      </c>
      <c r="V100" s="12"/>
      <c r="W100" s="20" t="s">
        <v>51</v>
      </c>
      <c r="X100" s="21" t="n">
        <v>0</v>
      </c>
      <c r="Y100" s="21" t="n">
        <v>0</v>
      </c>
      <c r="Z100" s="21" t="n">
        <v>805</v>
      </c>
      <c r="AA100" s="21" t="n">
        <v>0</v>
      </c>
    </row>
    <row r="101" customFormat="false" ht="185.8" hidden="false" customHeight="false" outlineLevel="0" collapsed="false">
      <c r="A101" s="10"/>
      <c r="B101" s="10"/>
      <c r="C101" s="11" t="s">
        <v>22</v>
      </c>
      <c r="D101" s="12" t="s">
        <v>89</v>
      </c>
      <c r="E101" s="10"/>
      <c r="F101" s="10" t="n">
        <v>39</v>
      </c>
      <c r="G101" s="10" t="s">
        <v>377</v>
      </c>
      <c r="H101" s="12" t="s">
        <v>378</v>
      </c>
      <c r="I101" s="14" t="s">
        <v>30</v>
      </c>
      <c r="J101" s="14" t="s">
        <v>86</v>
      </c>
      <c r="K101" s="12" t="s">
        <v>386</v>
      </c>
      <c r="L101" s="16" t="s">
        <v>384</v>
      </c>
      <c r="M101" s="10" t="n">
        <v>800</v>
      </c>
      <c r="N101" s="17" t="s">
        <v>30</v>
      </c>
      <c r="O101" s="17" t="s">
        <v>46</v>
      </c>
      <c r="P101" s="18" t="s">
        <v>386</v>
      </c>
      <c r="Q101" s="18" t="s">
        <v>387</v>
      </c>
      <c r="R101" s="19" t="n">
        <v>800</v>
      </c>
      <c r="S101" s="10"/>
      <c r="T101" s="19" t="n">
        <f aca="false">R101-M101</f>
        <v>0</v>
      </c>
      <c r="U101" s="19" t="n">
        <f aca="false">R101</f>
        <v>800</v>
      </c>
      <c r="V101" s="12"/>
      <c r="W101" s="20" t="s">
        <v>51</v>
      </c>
      <c r="X101" s="21" t="n">
        <v>0</v>
      </c>
      <c r="Y101" s="21" t="n">
        <v>0</v>
      </c>
      <c r="Z101" s="21" t="n">
        <v>800</v>
      </c>
      <c r="AA101" s="21" t="n">
        <v>0</v>
      </c>
    </row>
    <row r="102" customFormat="false" ht="97" hidden="false" customHeight="false" outlineLevel="0" collapsed="false">
      <c r="A102" s="10"/>
      <c r="B102" s="10"/>
      <c r="C102" s="10"/>
      <c r="D102" s="12"/>
      <c r="E102" s="10"/>
      <c r="F102" s="10" t="n">
        <v>3</v>
      </c>
      <c r="G102" s="10" t="s">
        <v>388</v>
      </c>
      <c r="H102" s="25" t="s">
        <v>389</v>
      </c>
      <c r="I102" s="24" t="s">
        <v>26</v>
      </c>
      <c r="J102" s="24" t="s">
        <v>355</v>
      </c>
      <c r="K102" s="12" t="s">
        <v>390</v>
      </c>
      <c r="L102" s="16" t="s">
        <v>391</v>
      </c>
      <c r="M102" s="20" t="n">
        <v>12000</v>
      </c>
      <c r="N102" s="24" t="s">
        <v>26</v>
      </c>
      <c r="O102" s="24" t="s">
        <v>355</v>
      </c>
      <c r="P102" s="12" t="s">
        <v>390</v>
      </c>
      <c r="Q102" s="16" t="s">
        <v>392</v>
      </c>
      <c r="R102" s="19" t="n">
        <v>16000</v>
      </c>
      <c r="S102" s="10"/>
      <c r="T102" s="19" t="n">
        <f aca="false">R102-M102</f>
        <v>4000</v>
      </c>
      <c r="U102" s="19" t="n">
        <f aca="false">R102</f>
        <v>16000</v>
      </c>
      <c r="V102" s="22" t="s">
        <v>393</v>
      </c>
      <c r="W102" s="20" t="s">
        <v>394</v>
      </c>
      <c r="X102" s="10"/>
      <c r="Y102" s="30" t="n">
        <v>8000</v>
      </c>
      <c r="Z102" s="30" t="n">
        <v>8000</v>
      </c>
      <c r="AA102" s="10"/>
    </row>
    <row r="103" customFormat="false" ht="123.1" hidden="false" customHeight="false" outlineLevel="0" collapsed="false">
      <c r="A103" s="10"/>
      <c r="B103" s="10"/>
      <c r="C103" s="11" t="s">
        <v>22</v>
      </c>
      <c r="D103" s="12" t="s">
        <v>257</v>
      </c>
      <c r="E103" s="10"/>
      <c r="F103" s="10" t="n">
        <v>13</v>
      </c>
      <c r="G103" s="10" t="s">
        <v>388</v>
      </c>
      <c r="H103" s="25" t="s">
        <v>395</v>
      </c>
      <c r="I103" s="24" t="s">
        <v>26</v>
      </c>
      <c r="J103" s="29" t="s">
        <v>86</v>
      </c>
      <c r="K103" s="12" t="s">
        <v>396</v>
      </c>
      <c r="L103" s="27" t="s">
        <v>397</v>
      </c>
      <c r="M103" s="20" t="n">
        <v>600</v>
      </c>
      <c r="N103" s="24" t="s">
        <v>26</v>
      </c>
      <c r="O103" s="29" t="s">
        <v>86</v>
      </c>
      <c r="P103" s="12" t="s">
        <v>396</v>
      </c>
      <c r="Q103" s="27" t="s">
        <v>398</v>
      </c>
      <c r="R103" s="19" t="n">
        <v>600</v>
      </c>
      <c r="S103" s="10"/>
      <c r="T103" s="19" t="n">
        <f aca="false">R103-M103</f>
        <v>0</v>
      </c>
      <c r="U103" s="19" t="n">
        <f aca="false">R103</f>
        <v>600</v>
      </c>
      <c r="V103" s="12"/>
      <c r="W103" s="20" t="s">
        <v>399</v>
      </c>
      <c r="X103" s="30" t="n">
        <v>150</v>
      </c>
      <c r="Y103" s="30" t="n">
        <v>150</v>
      </c>
      <c r="Z103" s="30" t="n">
        <v>150</v>
      </c>
      <c r="AA103" s="30" t="n">
        <v>150</v>
      </c>
    </row>
    <row r="104" customFormat="false" ht="111.9" hidden="false" customHeight="false" outlineLevel="0" collapsed="false">
      <c r="A104" s="10"/>
      <c r="B104" s="10"/>
      <c r="C104" s="11" t="s">
        <v>59</v>
      </c>
      <c r="D104" s="12" t="s">
        <v>400</v>
      </c>
      <c r="E104" s="10"/>
      <c r="F104" s="10" t="n">
        <v>31</v>
      </c>
      <c r="G104" s="10" t="s">
        <v>388</v>
      </c>
      <c r="H104" s="25" t="s">
        <v>389</v>
      </c>
      <c r="I104" s="24" t="s">
        <v>26</v>
      </c>
      <c r="J104" s="29" t="s">
        <v>207</v>
      </c>
      <c r="K104" s="12" t="s">
        <v>401</v>
      </c>
      <c r="L104" s="16" t="s">
        <v>402</v>
      </c>
      <c r="M104" s="20" t="n">
        <v>600</v>
      </c>
      <c r="N104" s="24" t="s">
        <v>26</v>
      </c>
      <c r="O104" s="29" t="s">
        <v>207</v>
      </c>
      <c r="P104" s="12" t="s">
        <v>401</v>
      </c>
      <c r="Q104" s="16" t="s">
        <v>402</v>
      </c>
      <c r="R104" s="19" t="n">
        <v>600</v>
      </c>
      <c r="S104" s="10"/>
      <c r="T104" s="19" t="n">
        <f aca="false">R104-M104</f>
        <v>0</v>
      </c>
      <c r="U104" s="19" t="n">
        <f aca="false">R104</f>
        <v>600</v>
      </c>
      <c r="V104" s="12"/>
      <c r="W104" s="20" t="s">
        <v>399</v>
      </c>
      <c r="X104" s="30" t="n">
        <v>150</v>
      </c>
      <c r="Y104" s="30" t="n">
        <v>150</v>
      </c>
      <c r="Z104" s="30" t="n">
        <v>150</v>
      </c>
      <c r="AA104" s="30" t="n">
        <v>150</v>
      </c>
    </row>
    <row r="105" customFormat="false" ht="152.2" hidden="false" customHeight="false" outlineLevel="0" collapsed="false">
      <c r="A105" s="10"/>
      <c r="B105" s="10"/>
      <c r="C105" s="11" t="s">
        <v>59</v>
      </c>
      <c r="D105" s="12" t="s">
        <v>400</v>
      </c>
      <c r="E105" s="10"/>
      <c r="F105" s="10" t="n">
        <v>32</v>
      </c>
      <c r="G105" s="10" t="s">
        <v>388</v>
      </c>
      <c r="H105" s="25" t="s">
        <v>389</v>
      </c>
      <c r="I105" s="24" t="s">
        <v>26</v>
      </c>
      <c r="J105" s="29" t="s">
        <v>207</v>
      </c>
      <c r="K105" s="12" t="s">
        <v>403</v>
      </c>
      <c r="L105" s="16" t="s">
        <v>404</v>
      </c>
      <c r="M105" s="20" t="n">
        <v>12300</v>
      </c>
      <c r="N105" s="24" t="s">
        <v>26</v>
      </c>
      <c r="O105" s="29" t="s">
        <v>207</v>
      </c>
      <c r="P105" s="12" t="s">
        <v>405</v>
      </c>
      <c r="Q105" s="16" t="s">
        <v>406</v>
      </c>
      <c r="R105" s="19" t="n">
        <v>12300</v>
      </c>
      <c r="S105" s="10"/>
      <c r="T105" s="19" t="n">
        <f aca="false">R105-M105</f>
        <v>0</v>
      </c>
      <c r="U105" s="19" t="n">
        <f aca="false">R105</f>
        <v>12300</v>
      </c>
      <c r="V105" s="12"/>
      <c r="W105" s="20" t="s">
        <v>394</v>
      </c>
      <c r="X105" s="30" t="n">
        <v>4100</v>
      </c>
      <c r="Y105" s="30" t="n">
        <v>4100</v>
      </c>
      <c r="Z105" s="30" t="n">
        <v>4100</v>
      </c>
      <c r="AA105" s="10"/>
    </row>
    <row r="106" customFormat="false" ht="240.25" hidden="false" customHeight="false" outlineLevel="0" collapsed="false">
      <c r="A106" s="10"/>
      <c r="B106" s="10"/>
      <c r="C106" s="11" t="s">
        <v>59</v>
      </c>
      <c r="D106" s="12" t="s">
        <v>240</v>
      </c>
      <c r="E106" s="10"/>
      <c r="F106" s="10" t="n">
        <v>34</v>
      </c>
      <c r="G106" s="10" t="s">
        <v>388</v>
      </c>
      <c r="H106" s="25" t="s">
        <v>389</v>
      </c>
      <c r="I106" s="24" t="s">
        <v>26</v>
      </c>
      <c r="J106" s="24" t="s">
        <v>83</v>
      </c>
      <c r="K106" s="12" t="s">
        <v>407</v>
      </c>
      <c r="L106" s="27" t="s">
        <v>408</v>
      </c>
      <c r="M106" s="20" t="n">
        <v>27020</v>
      </c>
      <c r="N106" s="24" t="s">
        <v>26</v>
      </c>
      <c r="O106" s="24" t="s">
        <v>83</v>
      </c>
      <c r="P106" s="12" t="s">
        <v>407</v>
      </c>
      <c r="Q106" s="27" t="s">
        <v>408</v>
      </c>
      <c r="R106" s="19" t="n">
        <v>27020</v>
      </c>
      <c r="S106" s="10"/>
      <c r="T106" s="19" t="n">
        <f aca="false">R106-M106</f>
        <v>0</v>
      </c>
      <c r="U106" s="19" t="n">
        <f aca="false">R106</f>
        <v>27020</v>
      </c>
      <c r="V106" s="12"/>
      <c r="W106" s="20" t="s">
        <v>394</v>
      </c>
      <c r="X106" s="30" t="n">
        <v>8000</v>
      </c>
      <c r="Y106" s="30" t="n">
        <v>12000</v>
      </c>
      <c r="Z106" s="30" t="n">
        <v>7020</v>
      </c>
      <c r="AA106" s="10"/>
    </row>
    <row r="107" customFormat="false" ht="111.9" hidden="false" customHeight="false" outlineLevel="0" collapsed="false">
      <c r="A107" s="10"/>
      <c r="B107" s="10"/>
      <c r="C107" s="11" t="s">
        <v>59</v>
      </c>
      <c r="D107" s="12" t="s">
        <v>400</v>
      </c>
      <c r="E107" s="10"/>
      <c r="F107" s="10" t="n">
        <v>38</v>
      </c>
      <c r="G107" s="10" t="s">
        <v>388</v>
      </c>
      <c r="H107" s="25" t="s">
        <v>389</v>
      </c>
      <c r="I107" s="24" t="s">
        <v>26</v>
      </c>
      <c r="J107" s="29" t="s">
        <v>207</v>
      </c>
      <c r="K107" s="12" t="s">
        <v>409</v>
      </c>
      <c r="L107" s="16" t="s">
        <v>410</v>
      </c>
      <c r="M107" s="20" t="n">
        <v>31500</v>
      </c>
      <c r="N107" s="24" t="s">
        <v>26</v>
      </c>
      <c r="O107" s="29" t="s">
        <v>207</v>
      </c>
      <c r="P107" s="12" t="s">
        <v>409</v>
      </c>
      <c r="Q107" s="16" t="s">
        <v>411</v>
      </c>
      <c r="R107" s="19" t="n">
        <v>31500</v>
      </c>
      <c r="S107" s="10"/>
      <c r="T107" s="19" t="n">
        <f aca="false">R107-M107</f>
        <v>0</v>
      </c>
      <c r="U107" s="19" t="n">
        <f aca="false">R107</f>
        <v>31500</v>
      </c>
      <c r="V107" s="12"/>
      <c r="W107" s="20" t="s">
        <v>399</v>
      </c>
      <c r="X107" s="30" t="n">
        <v>7875</v>
      </c>
      <c r="Y107" s="30" t="n">
        <v>7875</v>
      </c>
      <c r="Z107" s="30" t="n">
        <v>7875</v>
      </c>
      <c r="AA107" s="30" t="n">
        <v>7875</v>
      </c>
    </row>
    <row r="108" customFormat="false" ht="83.55" hidden="false" customHeight="false" outlineLevel="0" collapsed="false">
      <c r="A108" s="10"/>
      <c r="B108" s="10"/>
      <c r="C108" s="11" t="s">
        <v>34</v>
      </c>
      <c r="D108" s="12" t="s">
        <v>412</v>
      </c>
      <c r="E108" s="10"/>
      <c r="F108" s="10" t="n">
        <v>8</v>
      </c>
      <c r="G108" s="10" t="s">
        <v>413</v>
      </c>
      <c r="H108" s="13" t="s">
        <v>414</v>
      </c>
      <c r="I108" s="24" t="s">
        <v>26</v>
      </c>
      <c r="J108" s="24" t="s">
        <v>86</v>
      </c>
      <c r="K108" s="12" t="s">
        <v>415</v>
      </c>
      <c r="L108" s="27" t="s">
        <v>416</v>
      </c>
      <c r="M108" s="20" t="n">
        <v>480</v>
      </c>
      <c r="N108" s="17" t="s">
        <v>26</v>
      </c>
      <c r="O108" s="17" t="s">
        <v>86</v>
      </c>
      <c r="P108" s="18" t="s">
        <v>415</v>
      </c>
      <c r="Q108" s="18" t="s">
        <v>417</v>
      </c>
      <c r="R108" s="19" t="n">
        <v>720</v>
      </c>
      <c r="S108" s="19" t="n">
        <f aca="false">R108-M108</f>
        <v>240</v>
      </c>
      <c r="T108" s="10"/>
      <c r="U108" s="19" t="n">
        <v>720</v>
      </c>
      <c r="V108" s="22" t="s">
        <v>418</v>
      </c>
      <c r="W108" s="20" t="s">
        <v>51</v>
      </c>
      <c r="X108" s="10"/>
      <c r="Y108" s="10"/>
      <c r="Z108" s="21" t="n">
        <v>360</v>
      </c>
      <c r="AA108" s="21" t="n">
        <v>360</v>
      </c>
    </row>
    <row r="109" customFormat="false" ht="240.25" hidden="false" customHeight="false" outlineLevel="0" collapsed="false">
      <c r="A109" s="10"/>
      <c r="B109" s="10"/>
      <c r="C109" s="10"/>
      <c r="D109" s="12"/>
      <c r="E109" s="10"/>
      <c r="F109" s="10" t="n">
        <v>18</v>
      </c>
      <c r="G109" s="23" t="s">
        <v>413</v>
      </c>
      <c r="H109" s="13" t="s">
        <v>419</v>
      </c>
      <c r="I109" s="24" t="s">
        <v>26</v>
      </c>
      <c r="J109" s="24" t="s">
        <v>420</v>
      </c>
      <c r="K109" s="12" t="s">
        <v>421</v>
      </c>
      <c r="L109" s="25" t="s">
        <v>422</v>
      </c>
      <c r="M109" s="20" t="n">
        <v>8275.482</v>
      </c>
      <c r="N109" s="17" t="s">
        <v>26</v>
      </c>
      <c r="O109" s="17" t="str">
        <f aca="false">J109</f>
        <v>국외업무여비</v>
      </c>
      <c r="P109" s="12" t="s">
        <v>423</v>
      </c>
      <c r="Q109" s="25" t="s">
        <v>422</v>
      </c>
      <c r="R109" s="20" t="n">
        <v>8275.482</v>
      </c>
      <c r="S109" s="19" t="n">
        <f aca="false">R109-M109</f>
        <v>0</v>
      </c>
      <c r="T109" s="10"/>
      <c r="U109" s="20" t="n">
        <v>8275.482</v>
      </c>
      <c r="V109" s="12"/>
      <c r="W109" s="20" t="s">
        <v>51</v>
      </c>
      <c r="X109" s="10"/>
      <c r="Y109" s="21" t="n">
        <f aca="false">R109</f>
        <v>8275.482</v>
      </c>
      <c r="Z109" s="10"/>
      <c r="AA109" s="10"/>
    </row>
    <row r="110" customFormat="false" ht="268.65" hidden="false" customHeight="false" outlineLevel="0" collapsed="false">
      <c r="A110" s="10"/>
      <c r="B110" s="10"/>
      <c r="C110" s="10"/>
      <c r="D110" s="12"/>
      <c r="E110" s="10"/>
      <c r="F110" s="10" t="n">
        <v>19</v>
      </c>
      <c r="G110" s="23" t="s">
        <v>413</v>
      </c>
      <c r="H110" s="13" t="s">
        <v>419</v>
      </c>
      <c r="I110" s="24" t="s">
        <v>26</v>
      </c>
      <c r="J110" s="24" t="s">
        <v>420</v>
      </c>
      <c r="K110" s="12" t="s">
        <v>424</v>
      </c>
      <c r="L110" s="25" t="s">
        <v>425</v>
      </c>
      <c r="M110" s="20" t="n">
        <v>3709.85</v>
      </c>
      <c r="N110" s="17" t="s">
        <v>26</v>
      </c>
      <c r="O110" s="17" t="str">
        <f aca="false">J110</f>
        <v>국외업무여비</v>
      </c>
      <c r="P110" s="12" t="s">
        <v>424</v>
      </c>
      <c r="Q110" s="25" t="s">
        <v>425</v>
      </c>
      <c r="R110" s="20" t="n">
        <v>3709.85</v>
      </c>
      <c r="S110" s="19" t="n">
        <f aca="false">R110-M110</f>
        <v>0</v>
      </c>
      <c r="T110" s="10"/>
      <c r="U110" s="20" t="n">
        <v>3709.85</v>
      </c>
      <c r="V110" s="12"/>
      <c r="W110" s="20" t="s">
        <v>51</v>
      </c>
      <c r="X110" s="10"/>
      <c r="Y110" s="10"/>
      <c r="Z110" s="21" t="n">
        <f aca="false">R110</f>
        <v>3709.85</v>
      </c>
      <c r="AA110" s="10"/>
    </row>
    <row r="111" customFormat="false" ht="240.25" hidden="false" customHeight="false" outlineLevel="0" collapsed="false">
      <c r="A111" s="10"/>
      <c r="B111" s="10"/>
      <c r="C111" s="10"/>
      <c r="D111" s="12"/>
      <c r="E111" s="10"/>
      <c r="F111" s="10" t="n">
        <v>20</v>
      </c>
      <c r="G111" s="23" t="s">
        <v>413</v>
      </c>
      <c r="H111" s="13" t="s">
        <v>419</v>
      </c>
      <c r="I111" s="24" t="s">
        <v>26</v>
      </c>
      <c r="J111" s="24" t="s">
        <v>420</v>
      </c>
      <c r="K111" s="12" t="s">
        <v>426</v>
      </c>
      <c r="L111" s="25" t="s">
        <v>427</v>
      </c>
      <c r="M111" s="20" t="n">
        <v>8275.482</v>
      </c>
      <c r="N111" s="17" t="s">
        <v>26</v>
      </c>
      <c r="O111" s="17" t="str">
        <f aca="false">J111</f>
        <v>국외업무여비</v>
      </c>
      <c r="P111" s="12" t="s">
        <v>426</v>
      </c>
      <c r="Q111" s="25" t="s">
        <v>427</v>
      </c>
      <c r="R111" s="20" t="n">
        <v>8275.482</v>
      </c>
      <c r="S111" s="19" t="n">
        <f aca="false">R111-M111</f>
        <v>0</v>
      </c>
      <c r="T111" s="10"/>
      <c r="U111" s="20" t="n">
        <v>8275.482</v>
      </c>
      <c r="V111" s="12"/>
      <c r="W111" s="20" t="s">
        <v>51</v>
      </c>
      <c r="X111" s="10"/>
      <c r="Y111" s="10"/>
      <c r="Z111" s="10"/>
      <c r="AA111" s="21" t="n">
        <f aca="false">R111</f>
        <v>8275.482</v>
      </c>
    </row>
    <row r="112" customFormat="false" ht="85.8" hidden="false" customHeight="false" outlineLevel="0" collapsed="false">
      <c r="A112" s="10"/>
      <c r="B112" s="10"/>
      <c r="C112" s="11" t="s">
        <v>34</v>
      </c>
      <c r="D112" s="12" t="s">
        <v>412</v>
      </c>
      <c r="E112" s="10"/>
      <c r="F112" s="10" t="n">
        <v>30</v>
      </c>
      <c r="G112" s="10" t="s">
        <v>413</v>
      </c>
      <c r="H112" s="13" t="s">
        <v>414</v>
      </c>
      <c r="I112" s="24" t="s">
        <v>26</v>
      </c>
      <c r="J112" s="24" t="s">
        <v>86</v>
      </c>
      <c r="K112" s="12" t="s">
        <v>428</v>
      </c>
      <c r="L112" s="27" t="s">
        <v>429</v>
      </c>
      <c r="M112" s="20" t="n">
        <v>1460</v>
      </c>
      <c r="N112" s="17" t="s">
        <v>26</v>
      </c>
      <c r="O112" s="17" t="s">
        <v>86</v>
      </c>
      <c r="P112" s="18" t="s">
        <v>428</v>
      </c>
      <c r="Q112" s="18" t="s">
        <v>430</v>
      </c>
      <c r="R112" s="19" t="n">
        <v>1350</v>
      </c>
      <c r="S112" s="19" t="n">
        <f aca="false">R112-M112</f>
        <v>-110</v>
      </c>
      <c r="T112" s="10"/>
      <c r="U112" s="19" t="n">
        <v>1350</v>
      </c>
      <c r="V112" s="12"/>
      <c r="W112" s="20" t="s">
        <v>51</v>
      </c>
      <c r="X112" s="21" t="n">
        <v>450</v>
      </c>
      <c r="Y112" s="21" t="n">
        <v>450</v>
      </c>
      <c r="Z112" s="21" t="n">
        <v>450</v>
      </c>
      <c r="AA112" s="10"/>
    </row>
    <row r="113" customFormat="false" ht="128.35" hidden="false" customHeight="false" outlineLevel="0" collapsed="false">
      <c r="A113" s="10"/>
      <c r="B113" s="10"/>
      <c r="C113" s="11" t="s">
        <v>34</v>
      </c>
      <c r="D113" s="12" t="s">
        <v>412</v>
      </c>
      <c r="E113" s="10"/>
      <c r="F113" s="10" t="n">
        <v>33</v>
      </c>
      <c r="G113" s="10" t="s">
        <v>413</v>
      </c>
      <c r="H113" s="13" t="s">
        <v>414</v>
      </c>
      <c r="I113" s="24" t="s">
        <v>26</v>
      </c>
      <c r="J113" s="24" t="s">
        <v>86</v>
      </c>
      <c r="K113" s="12" t="s">
        <v>431</v>
      </c>
      <c r="L113" s="27" t="s">
        <v>432</v>
      </c>
      <c r="M113" s="20" t="n">
        <v>3240</v>
      </c>
      <c r="N113" s="17" t="s">
        <v>26</v>
      </c>
      <c r="O113" s="17" t="s">
        <v>86</v>
      </c>
      <c r="P113" s="18" t="s">
        <v>431</v>
      </c>
      <c r="Q113" s="18" t="s">
        <v>433</v>
      </c>
      <c r="R113" s="19" t="n">
        <v>3000</v>
      </c>
      <c r="S113" s="19" t="n">
        <f aca="false">R113-M113</f>
        <v>-240</v>
      </c>
      <c r="T113" s="10"/>
      <c r="U113" s="19" t="n">
        <v>3000</v>
      </c>
      <c r="V113" s="12"/>
      <c r="W113" s="20" t="s">
        <v>51</v>
      </c>
      <c r="X113" s="21" t="n">
        <v>750</v>
      </c>
      <c r="Y113" s="21" t="n">
        <v>750</v>
      </c>
      <c r="Z113" s="21" t="n">
        <v>750</v>
      </c>
      <c r="AA113" s="21" t="n">
        <v>750</v>
      </c>
    </row>
    <row r="114" customFormat="false" ht="137.3" hidden="false" customHeight="false" outlineLevel="0" collapsed="false">
      <c r="A114" s="10"/>
      <c r="B114" s="10"/>
      <c r="C114" s="10"/>
      <c r="D114" s="12"/>
      <c r="E114" s="10"/>
      <c r="F114" s="10" t="n">
        <v>34</v>
      </c>
      <c r="G114" s="23" t="s">
        <v>413</v>
      </c>
      <c r="H114" s="13" t="s">
        <v>419</v>
      </c>
      <c r="I114" s="24" t="s">
        <v>26</v>
      </c>
      <c r="J114" s="24" t="s">
        <v>86</v>
      </c>
      <c r="K114" s="12" t="s">
        <v>434</v>
      </c>
      <c r="L114" s="25" t="s">
        <v>435</v>
      </c>
      <c r="M114" s="20" t="n">
        <v>1000</v>
      </c>
      <c r="N114" s="17" t="s">
        <v>26</v>
      </c>
      <c r="O114" s="24" t="s">
        <v>86</v>
      </c>
      <c r="P114" s="12" t="s">
        <v>434</v>
      </c>
      <c r="Q114" s="18" t="s">
        <v>436</v>
      </c>
      <c r="R114" s="19" t="n">
        <v>750</v>
      </c>
      <c r="S114" s="19" t="n">
        <f aca="false">R114-M114</f>
        <v>-250</v>
      </c>
      <c r="T114" s="10"/>
      <c r="U114" s="19" t="n">
        <v>750</v>
      </c>
      <c r="V114" s="12"/>
      <c r="W114" s="20" t="s">
        <v>51</v>
      </c>
      <c r="X114" s="10"/>
      <c r="Y114" s="10"/>
      <c r="Z114" s="21" t="n">
        <v>750</v>
      </c>
      <c r="AA114" s="10"/>
    </row>
    <row r="115" customFormat="false" ht="109.7" hidden="false" customHeight="false" outlineLevel="0" collapsed="false">
      <c r="A115" s="10"/>
      <c r="B115" s="10"/>
      <c r="C115" s="10"/>
      <c r="D115" s="12"/>
      <c r="E115" s="10"/>
      <c r="F115" s="10" t="n">
        <v>39</v>
      </c>
      <c r="G115" s="10" t="s">
        <v>413</v>
      </c>
      <c r="H115" s="13" t="s">
        <v>437</v>
      </c>
      <c r="I115" s="24" t="s">
        <v>26</v>
      </c>
      <c r="J115" s="24" t="s">
        <v>55</v>
      </c>
      <c r="K115" s="16" t="s">
        <v>438</v>
      </c>
      <c r="L115" s="16" t="s">
        <v>439</v>
      </c>
      <c r="M115" s="20" t="n">
        <v>2000</v>
      </c>
      <c r="N115" s="17" t="s">
        <v>26</v>
      </c>
      <c r="O115" s="24" t="s">
        <v>55</v>
      </c>
      <c r="P115" s="16" t="s">
        <v>440</v>
      </c>
      <c r="Q115" s="16" t="s">
        <v>441</v>
      </c>
      <c r="R115" s="20" t="n">
        <v>1470</v>
      </c>
      <c r="S115" s="19" t="n">
        <f aca="false">R115-M115</f>
        <v>-530</v>
      </c>
      <c r="T115" s="10"/>
      <c r="U115" s="20" t="n">
        <v>1470</v>
      </c>
      <c r="V115" s="12"/>
      <c r="W115" s="20" t="s">
        <v>51</v>
      </c>
      <c r="X115" s="10"/>
      <c r="Y115" s="21" t="n">
        <v>1470</v>
      </c>
      <c r="Z115" s="10"/>
      <c r="AA115" s="10"/>
    </row>
    <row r="116" customFormat="false" ht="109.7" hidden="false" customHeight="false" outlineLevel="0" collapsed="false">
      <c r="A116" s="10"/>
      <c r="B116" s="10"/>
      <c r="C116" s="10"/>
      <c r="D116" s="12"/>
      <c r="E116" s="10"/>
      <c r="F116" s="10" t="n">
        <v>46</v>
      </c>
      <c r="G116" s="10" t="s">
        <v>413</v>
      </c>
      <c r="H116" s="13" t="s">
        <v>437</v>
      </c>
      <c r="I116" s="24" t="s">
        <v>26</v>
      </c>
      <c r="J116" s="24" t="s">
        <v>55</v>
      </c>
      <c r="K116" s="16" t="s">
        <v>442</v>
      </c>
      <c r="L116" s="16" t="s">
        <v>443</v>
      </c>
      <c r="M116" s="20" t="n">
        <v>2000</v>
      </c>
      <c r="N116" s="17" t="s">
        <v>26</v>
      </c>
      <c r="O116" s="24" t="s">
        <v>55</v>
      </c>
      <c r="P116" s="16" t="s">
        <v>444</v>
      </c>
      <c r="Q116" s="16" t="s">
        <v>445</v>
      </c>
      <c r="R116" s="20" t="n">
        <v>800</v>
      </c>
      <c r="S116" s="19" t="n">
        <f aca="false">R116-M116</f>
        <v>-1200</v>
      </c>
      <c r="T116" s="10"/>
      <c r="U116" s="20" t="n">
        <v>800</v>
      </c>
      <c r="V116" s="12"/>
      <c r="W116" s="20" t="s">
        <v>51</v>
      </c>
      <c r="X116" s="10"/>
      <c r="Y116" s="10"/>
      <c r="Z116" s="10"/>
      <c r="AA116" s="21" t="n">
        <v>800</v>
      </c>
    </row>
    <row r="117" customFormat="false" ht="109.7" hidden="false" customHeight="false" outlineLevel="0" collapsed="false">
      <c r="A117" s="10"/>
      <c r="B117" s="10"/>
      <c r="C117" s="10"/>
      <c r="D117" s="12"/>
      <c r="E117" s="10"/>
      <c r="F117" s="10" t="n">
        <v>52</v>
      </c>
      <c r="G117" s="20" t="s">
        <v>413</v>
      </c>
      <c r="H117" s="13" t="s">
        <v>446</v>
      </c>
      <c r="I117" s="24" t="s">
        <v>26</v>
      </c>
      <c r="J117" s="24" t="s">
        <v>86</v>
      </c>
      <c r="K117" s="25" t="s">
        <v>447</v>
      </c>
      <c r="L117" s="16" t="s">
        <v>448</v>
      </c>
      <c r="M117" s="20" t="n">
        <v>2400</v>
      </c>
      <c r="N117" s="17" t="s">
        <v>26</v>
      </c>
      <c r="O117" s="17" t="s">
        <v>86</v>
      </c>
      <c r="P117" s="18" t="s">
        <v>447</v>
      </c>
      <c r="Q117" s="18" t="s">
        <v>449</v>
      </c>
      <c r="R117" s="19" t="n">
        <v>675</v>
      </c>
      <c r="S117" s="19" t="n">
        <f aca="false">R117-M117</f>
        <v>-1725</v>
      </c>
      <c r="T117" s="10"/>
      <c r="U117" s="19" t="n">
        <v>675</v>
      </c>
      <c r="V117" s="12"/>
      <c r="W117" s="20" t="s">
        <v>51</v>
      </c>
      <c r="X117" s="10"/>
      <c r="Y117" s="21" t="n">
        <v>225</v>
      </c>
      <c r="Z117" s="21" t="n">
        <v>225</v>
      </c>
      <c r="AA117" s="21" t="n">
        <v>225</v>
      </c>
    </row>
    <row r="118" customFormat="false" ht="109.7" hidden="false" customHeight="false" outlineLevel="0" collapsed="false">
      <c r="A118" s="10"/>
      <c r="B118" s="10"/>
      <c r="C118" s="10"/>
      <c r="D118" s="12"/>
      <c r="E118" s="10"/>
      <c r="F118" s="10" t="n">
        <v>55</v>
      </c>
      <c r="G118" s="23" t="s">
        <v>413</v>
      </c>
      <c r="H118" s="13" t="s">
        <v>419</v>
      </c>
      <c r="I118" s="24" t="s">
        <v>26</v>
      </c>
      <c r="J118" s="24" t="s">
        <v>86</v>
      </c>
      <c r="K118" s="12" t="s">
        <v>450</v>
      </c>
      <c r="L118" s="25" t="s">
        <v>48</v>
      </c>
      <c r="M118" s="20" t="n">
        <v>3000</v>
      </c>
      <c r="N118" s="17" t="s">
        <v>26</v>
      </c>
      <c r="O118" s="17" t="str">
        <f aca="false">J118</f>
        <v>회의비</v>
      </c>
      <c r="P118" s="12" t="s">
        <v>450</v>
      </c>
      <c r="Q118" s="25" t="s">
        <v>451</v>
      </c>
      <c r="R118" s="19" t="n">
        <v>1000</v>
      </c>
      <c r="S118" s="19" t="n">
        <f aca="false">R118-M118</f>
        <v>-2000</v>
      </c>
      <c r="T118" s="10"/>
      <c r="U118" s="19" t="n">
        <v>1000</v>
      </c>
      <c r="V118" s="12"/>
      <c r="W118" s="20" t="s">
        <v>51</v>
      </c>
      <c r="X118" s="10"/>
      <c r="Y118" s="10"/>
      <c r="Z118" s="10"/>
      <c r="AA118" s="21" t="n">
        <f aca="false">R118</f>
        <v>1000</v>
      </c>
    </row>
    <row r="119" customFormat="false" ht="109.7" hidden="false" customHeight="false" outlineLevel="0" collapsed="false">
      <c r="A119" s="10"/>
      <c r="B119" s="10"/>
      <c r="C119" s="10"/>
      <c r="D119" s="12"/>
      <c r="E119" s="10"/>
      <c r="F119" s="10" t="n">
        <v>56</v>
      </c>
      <c r="G119" s="23" t="s">
        <v>413</v>
      </c>
      <c r="H119" s="13" t="s">
        <v>419</v>
      </c>
      <c r="I119" s="24" t="s">
        <v>26</v>
      </c>
      <c r="J119" s="24" t="s">
        <v>86</v>
      </c>
      <c r="K119" s="12" t="s">
        <v>452</v>
      </c>
      <c r="L119" s="25" t="s">
        <v>453</v>
      </c>
      <c r="M119" s="20" t="n">
        <v>3000</v>
      </c>
      <c r="N119" s="17" t="s">
        <v>26</v>
      </c>
      <c r="O119" s="17" t="str">
        <f aca="false">J119</f>
        <v>회의비</v>
      </c>
      <c r="P119" s="12" t="s">
        <v>452</v>
      </c>
      <c r="Q119" s="25" t="s">
        <v>454</v>
      </c>
      <c r="R119" s="19" t="n">
        <v>1000</v>
      </c>
      <c r="S119" s="19" t="n">
        <f aca="false">R119-M119</f>
        <v>-2000</v>
      </c>
      <c r="T119" s="10"/>
      <c r="U119" s="19" t="n">
        <v>1000</v>
      </c>
      <c r="V119" s="12"/>
      <c r="W119" s="20" t="s">
        <v>51</v>
      </c>
      <c r="X119" s="10"/>
      <c r="Y119" s="10"/>
      <c r="Z119" s="10"/>
      <c r="AA119" s="21" t="n">
        <f aca="false">R119</f>
        <v>1000</v>
      </c>
    </row>
    <row r="120" customFormat="false" ht="123.1" hidden="false" customHeight="false" outlineLevel="0" collapsed="false">
      <c r="A120" s="10"/>
      <c r="B120" s="10"/>
      <c r="C120" s="11" t="s">
        <v>22</v>
      </c>
      <c r="D120" s="12" t="s">
        <v>455</v>
      </c>
      <c r="E120" s="10"/>
      <c r="F120" s="10" t="n">
        <v>5</v>
      </c>
      <c r="G120" s="20" t="s">
        <v>456</v>
      </c>
      <c r="H120" s="13" t="s">
        <v>457</v>
      </c>
      <c r="I120" s="24" t="s">
        <v>30</v>
      </c>
      <c r="J120" s="24" t="s">
        <v>458</v>
      </c>
      <c r="K120" s="25" t="s">
        <v>459</v>
      </c>
      <c r="L120" s="27" t="s">
        <v>460</v>
      </c>
      <c r="M120" s="23" t="n">
        <v>98000</v>
      </c>
      <c r="N120" s="17" t="s">
        <v>30</v>
      </c>
      <c r="O120" s="17" t="s">
        <v>458</v>
      </c>
      <c r="P120" s="18" t="s">
        <v>459</v>
      </c>
      <c r="Q120" s="18" t="s">
        <v>461</v>
      </c>
      <c r="R120" s="19" t="n">
        <v>153000</v>
      </c>
      <c r="S120" s="19" t="n">
        <f aca="false">R120-M120</f>
        <v>55000</v>
      </c>
      <c r="T120" s="10"/>
      <c r="U120" s="19" t="n">
        <v>1300000</v>
      </c>
      <c r="V120" s="22" t="s">
        <v>462</v>
      </c>
      <c r="W120" s="20" t="s">
        <v>51</v>
      </c>
      <c r="X120" s="10"/>
      <c r="Y120" s="10"/>
      <c r="Z120" s="17" t="n">
        <v>153000</v>
      </c>
      <c r="AA120" s="10"/>
    </row>
    <row r="121" customFormat="false" ht="123.1" hidden="false" customHeight="false" outlineLevel="0" collapsed="false">
      <c r="A121" s="10"/>
      <c r="B121" s="10"/>
      <c r="C121" s="11" t="s">
        <v>22</v>
      </c>
      <c r="D121" s="12" t="s">
        <v>463</v>
      </c>
      <c r="E121" s="10"/>
      <c r="F121" s="10" t="n">
        <v>6</v>
      </c>
      <c r="G121" s="20" t="s">
        <v>456</v>
      </c>
      <c r="H121" s="13" t="s">
        <v>457</v>
      </c>
      <c r="I121" s="24" t="s">
        <v>30</v>
      </c>
      <c r="J121" s="24" t="s">
        <v>458</v>
      </c>
      <c r="K121" s="25" t="s">
        <v>464</v>
      </c>
      <c r="L121" s="27" t="s">
        <v>465</v>
      </c>
      <c r="M121" s="23" t="n">
        <v>9000</v>
      </c>
      <c r="N121" s="17" t="s">
        <v>30</v>
      </c>
      <c r="O121" s="17" t="s">
        <v>458</v>
      </c>
      <c r="P121" s="18" t="s">
        <v>464</v>
      </c>
      <c r="Q121" s="18" t="s">
        <v>466</v>
      </c>
      <c r="R121" s="19" t="n">
        <v>46500</v>
      </c>
      <c r="S121" s="19" t="n">
        <f aca="false">R121-M121</f>
        <v>37500</v>
      </c>
      <c r="T121" s="10"/>
      <c r="U121" s="10"/>
      <c r="V121" s="22" t="s">
        <v>467</v>
      </c>
      <c r="W121" s="20" t="s">
        <v>51</v>
      </c>
      <c r="X121" s="10"/>
      <c r="Y121" s="17" t="n">
        <v>23250</v>
      </c>
      <c r="Z121" s="10"/>
      <c r="AA121" s="17" t="n">
        <v>23250</v>
      </c>
    </row>
    <row r="122" customFormat="false" ht="123.1" hidden="false" customHeight="false" outlineLevel="0" collapsed="false">
      <c r="A122" s="10"/>
      <c r="B122" s="10"/>
      <c r="C122" s="11" t="s">
        <v>22</v>
      </c>
      <c r="D122" s="12" t="s">
        <v>463</v>
      </c>
      <c r="E122" s="10"/>
      <c r="F122" s="10" t="n">
        <v>10</v>
      </c>
      <c r="G122" s="20" t="s">
        <v>456</v>
      </c>
      <c r="H122" s="13" t="s">
        <v>457</v>
      </c>
      <c r="I122" s="24" t="s">
        <v>30</v>
      </c>
      <c r="J122" s="24" t="s">
        <v>458</v>
      </c>
      <c r="K122" s="25" t="s">
        <v>468</v>
      </c>
      <c r="L122" s="27" t="s">
        <v>469</v>
      </c>
      <c r="M122" s="23" t="n">
        <v>24000</v>
      </c>
      <c r="N122" s="17" t="s">
        <v>30</v>
      </c>
      <c r="O122" s="17" t="s">
        <v>458</v>
      </c>
      <c r="P122" s="18" t="s">
        <v>468</v>
      </c>
      <c r="Q122" s="18" t="s">
        <v>470</v>
      </c>
      <c r="R122" s="19" t="n">
        <v>45000</v>
      </c>
      <c r="S122" s="19" t="n">
        <f aca="false">R122-M122</f>
        <v>21000</v>
      </c>
      <c r="T122" s="10"/>
      <c r="U122" s="10"/>
      <c r="V122" s="22" t="s">
        <v>471</v>
      </c>
      <c r="W122" s="20" t="s">
        <v>51</v>
      </c>
      <c r="X122" s="10"/>
      <c r="Y122" s="17" t="n">
        <v>22500</v>
      </c>
      <c r="Z122" s="10"/>
      <c r="AA122" s="17" t="n">
        <v>22500</v>
      </c>
    </row>
    <row r="123" customFormat="false" ht="123.1" hidden="false" customHeight="false" outlineLevel="0" collapsed="false">
      <c r="A123" s="10"/>
      <c r="B123" s="10"/>
      <c r="C123" s="11" t="s">
        <v>22</v>
      </c>
      <c r="D123" s="12" t="s">
        <v>463</v>
      </c>
      <c r="E123" s="10"/>
      <c r="F123" s="10" t="n">
        <v>17</v>
      </c>
      <c r="G123" s="20" t="s">
        <v>456</v>
      </c>
      <c r="H123" s="13" t="s">
        <v>457</v>
      </c>
      <c r="I123" s="24" t="s">
        <v>30</v>
      </c>
      <c r="J123" s="24" t="s">
        <v>458</v>
      </c>
      <c r="K123" s="25" t="s">
        <v>472</v>
      </c>
      <c r="L123" s="27" t="s">
        <v>473</v>
      </c>
      <c r="M123" s="23" t="n">
        <v>69300</v>
      </c>
      <c r="N123" s="17" t="s">
        <v>30</v>
      </c>
      <c r="O123" s="17" t="s">
        <v>458</v>
      </c>
      <c r="P123" s="18" t="s">
        <v>472</v>
      </c>
      <c r="Q123" s="18" t="s">
        <v>474</v>
      </c>
      <c r="R123" s="19" t="n">
        <v>84000</v>
      </c>
      <c r="S123" s="19" t="n">
        <f aca="false">R123-M123</f>
        <v>14700</v>
      </c>
      <c r="T123" s="10"/>
      <c r="U123" s="10"/>
      <c r="V123" s="22" t="s">
        <v>475</v>
      </c>
      <c r="W123" s="20" t="s">
        <v>33</v>
      </c>
      <c r="X123" s="10"/>
      <c r="Y123" s="10"/>
      <c r="Z123" s="17" t="n">
        <v>84000</v>
      </c>
      <c r="AA123" s="10"/>
    </row>
    <row r="124" customFormat="false" ht="123.1" hidden="false" customHeight="false" outlineLevel="0" collapsed="false">
      <c r="A124" s="10"/>
      <c r="B124" s="10"/>
      <c r="C124" s="11" t="s">
        <v>22</v>
      </c>
      <c r="D124" s="12" t="s">
        <v>463</v>
      </c>
      <c r="E124" s="10"/>
      <c r="F124" s="10" t="n">
        <v>18</v>
      </c>
      <c r="G124" s="20" t="s">
        <v>456</v>
      </c>
      <c r="H124" s="13" t="s">
        <v>457</v>
      </c>
      <c r="I124" s="24" t="s">
        <v>30</v>
      </c>
      <c r="J124" s="24" t="s">
        <v>458</v>
      </c>
      <c r="K124" s="25" t="s">
        <v>476</v>
      </c>
      <c r="L124" s="27" t="s">
        <v>477</v>
      </c>
      <c r="M124" s="23" t="n">
        <v>25000</v>
      </c>
      <c r="N124" s="17" t="s">
        <v>30</v>
      </c>
      <c r="O124" s="17" t="s">
        <v>458</v>
      </c>
      <c r="P124" s="18" t="s">
        <v>476</v>
      </c>
      <c r="Q124" s="18" t="s">
        <v>478</v>
      </c>
      <c r="R124" s="19" t="n">
        <v>38500</v>
      </c>
      <c r="S124" s="19" t="n">
        <f aca="false">R124-M124</f>
        <v>13500</v>
      </c>
      <c r="T124" s="10"/>
      <c r="U124" s="10"/>
      <c r="V124" s="22" t="s">
        <v>479</v>
      </c>
      <c r="W124" s="20" t="s">
        <v>51</v>
      </c>
      <c r="X124" s="17" t="n">
        <v>8000</v>
      </c>
      <c r="Y124" s="17" t="n">
        <v>8000</v>
      </c>
      <c r="Z124" s="17" t="n">
        <v>8000</v>
      </c>
      <c r="AA124" s="17" t="n">
        <v>14500</v>
      </c>
    </row>
    <row r="125" customFormat="false" ht="123.1" hidden="false" customHeight="false" outlineLevel="0" collapsed="false">
      <c r="A125" s="10"/>
      <c r="B125" s="10"/>
      <c r="C125" s="11" t="s">
        <v>22</v>
      </c>
      <c r="D125" s="12" t="s">
        <v>455</v>
      </c>
      <c r="E125" s="10"/>
      <c r="F125" s="10" t="n">
        <v>22</v>
      </c>
      <c r="G125" s="20" t="s">
        <v>456</v>
      </c>
      <c r="H125" s="13" t="s">
        <v>457</v>
      </c>
      <c r="I125" s="24" t="s">
        <v>30</v>
      </c>
      <c r="J125" s="24" t="s">
        <v>458</v>
      </c>
      <c r="K125" s="25" t="s">
        <v>480</v>
      </c>
      <c r="L125" s="27" t="s">
        <v>481</v>
      </c>
      <c r="M125" s="23" t="n">
        <v>40000</v>
      </c>
      <c r="N125" s="17" t="s">
        <v>30</v>
      </c>
      <c r="O125" s="17" t="s">
        <v>458</v>
      </c>
      <c r="P125" s="18" t="s">
        <v>480</v>
      </c>
      <c r="Q125" s="18" t="s">
        <v>482</v>
      </c>
      <c r="R125" s="19" t="n">
        <v>50000</v>
      </c>
      <c r="S125" s="19" t="n">
        <f aca="false">R125-M125</f>
        <v>10000</v>
      </c>
      <c r="T125" s="10"/>
      <c r="U125" s="10"/>
      <c r="V125" s="22" t="s">
        <v>483</v>
      </c>
      <c r="W125" s="20" t="s">
        <v>42</v>
      </c>
      <c r="X125" s="10"/>
      <c r="Y125" s="17" t="n">
        <v>50000</v>
      </c>
      <c r="Z125" s="10"/>
      <c r="AA125" s="10"/>
    </row>
    <row r="126" customFormat="false" ht="164.9" hidden="false" customHeight="false" outlineLevel="0" collapsed="false">
      <c r="A126" s="10"/>
      <c r="B126" s="10"/>
      <c r="C126" s="11" t="s">
        <v>22</v>
      </c>
      <c r="D126" s="12" t="s">
        <v>23</v>
      </c>
      <c r="E126" s="10"/>
      <c r="F126" s="10" t="n">
        <v>37</v>
      </c>
      <c r="G126" s="20" t="s">
        <v>456</v>
      </c>
      <c r="H126" s="13" t="s">
        <v>457</v>
      </c>
      <c r="I126" s="24" t="s">
        <v>30</v>
      </c>
      <c r="J126" s="17" t="s">
        <v>458</v>
      </c>
      <c r="K126" s="25" t="s">
        <v>484</v>
      </c>
      <c r="L126" s="12"/>
      <c r="M126" s="10"/>
      <c r="N126" s="17" t="s">
        <v>30</v>
      </c>
      <c r="O126" s="17" t="s">
        <v>458</v>
      </c>
      <c r="P126" s="18" t="s">
        <v>485</v>
      </c>
      <c r="Q126" s="18" t="s">
        <v>486</v>
      </c>
      <c r="R126" s="19" t="n">
        <v>4800</v>
      </c>
      <c r="S126" s="19" t="n">
        <f aca="false">R126-M126</f>
        <v>4800</v>
      </c>
      <c r="T126" s="10"/>
      <c r="U126" s="10"/>
      <c r="V126" s="22" t="s">
        <v>487</v>
      </c>
      <c r="W126" s="20" t="s">
        <v>33</v>
      </c>
      <c r="X126" s="10"/>
      <c r="Y126" s="10"/>
      <c r="Z126" s="17" t="n">
        <v>4800</v>
      </c>
      <c r="AA126" s="10"/>
    </row>
    <row r="127" customFormat="false" ht="164.9" hidden="false" customHeight="false" outlineLevel="0" collapsed="false">
      <c r="A127" s="10"/>
      <c r="B127" s="10"/>
      <c r="C127" s="11" t="s">
        <v>22</v>
      </c>
      <c r="D127" s="12" t="s">
        <v>23</v>
      </c>
      <c r="E127" s="10"/>
      <c r="F127" s="10" t="n">
        <v>51</v>
      </c>
      <c r="G127" s="20" t="s">
        <v>456</v>
      </c>
      <c r="H127" s="13" t="s">
        <v>457</v>
      </c>
      <c r="I127" s="24" t="s">
        <v>30</v>
      </c>
      <c r="J127" s="17" t="s">
        <v>458</v>
      </c>
      <c r="K127" s="25" t="s">
        <v>484</v>
      </c>
      <c r="L127" s="12"/>
      <c r="M127" s="10"/>
      <c r="N127" s="17" t="s">
        <v>30</v>
      </c>
      <c r="O127" s="17" t="s">
        <v>458</v>
      </c>
      <c r="P127" s="18" t="s">
        <v>488</v>
      </c>
      <c r="Q127" s="18" t="s">
        <v>489</v>
      </c>
      <c r="R127" s="19" t="n">
        <v>2250</v>
      </c>
      <c r="S127" s="19" t="n">
        <f aca="false">R127-M127</f>
        <v>2250</v>
      </c>
      <c r="T127" s="10"/>
      <c r="U127" s="10"/>
      <c r="V127" s="22" t="s">
        <v>487</v>
      </c>
      <c r="W127" s="20" t="s">
        <v>490</v>
      </c>
      <c r="X127" s="10"/>
      <c r="Y127" s="10"/>
      <c r="Z127" s="17" t="n">
        <v>2250</v>
      </c>
      <c r="AA127" s="10"/>
    </row>
    <row r="128" customFormat="false" ht="125.35" hidden="false" customHeight="false" outlineLevel="0" collapsed="false">
      <c r="A128" s="10"/>
      <c r="B128" s="10"/>
      <c r="C128" s="11" t="s">
        <v>22</v>
      </c>
      <c r="D128" s="12" t="s">
        <v>463</v>
      </c>
      <c r="E128" s="10"/>
      <c r="F128" s="10" t="n">
        <v>57</v>
      </c>
      <c r="G128" s="20" t="s">
        <v>456</v>
      </c>
      <c r="H128" s="13" t="s">
        <v>457</v>
      </c>
      <c r="I128" s="24" t="s">
        <v>30</v>
      </c>
      <c r="J128" s="24" t="s">
        <v>491</v>
      </c>
      <c r="K128" s="25" t="s">
        <v>492</v>
      </c>
      <c r="L128" s="27" t="s">
        <v>493</v>
      </c>
      <c r="M128" s="23" t="n">
        <v>3200</v>
      </c>
      <c r="N128" s="17" t="s">
        <v>30</v>
      </c>
      <c r="O128" s="17" t="s">
        <v>491</v>
      </c>
      <c r="P128" s="18" t="s">
        <v>494</v>
      </c>
      <c r="Q128" s="18" t="s">
        <v>495</v>
      </c>
      <c r="R128" s="19" t="n">
        <v>4800</v>
      </c>
      <c r="S128" s="19" t="n">
        <f aca="false">R128-M128</f>
        <v>1600</v>
      </c>
      <c r="T128" s="10"/>
      <c r="U128" s="10"/>
      <c r="V128" s="22" t="s">
        <v>496</v>
      </c>
      <c r="W128" s="20" t="s">
        <v>51</v>
      </c>
      <c r="X128" s="10"/>
      <c r="Y128" s="10"/>
      <c r="Z128" s="17" t="n">
        <v>4800</v>
      </c>
      <c r="AA128" s="10"/>
    </row>
    <row r="129" customFormat="false" ht="126.85" hidden="false" customHeight="false" outlineLevel="0" collapsed="false">
      <c r="A129" s="10"/>
      <c r="B129" s="10"/>
      <c r="C129" s="11" t="s">
        <v>182</v>
      </c>
      <c r="D129" s="12" t="s">
        <v>497</v>
      </c>
      <c r="E129" s="10"/>
      <c r="F129" s="10" t="n">
        <v>134</v>
      </c>
      <c r="G129" s="20" t="s">
        <v>456</v>
      </c>
      <c r="H129" s="13" t="s">
        <v>498</v>
      </c>
      <c r="I129" s="24" t="s">
        <v>30</v>
      </c>
      <c r="J129" s="24" t="s">
        <v>86</v>
      </c>
      <c r="K129" s="25" t="s">
        <v>499</v>
      </c>
      <c r="L129" s="27" t="s">
        <v>500</v>
      </c>
      <c r="M129" s="20" t="n">
        <v>1800</v>
      </c>
      <c r="N129" s="17" t="s">
        <v>30</v>
      </c>
      <c r="O129" s="17" t="s">
        <v>501</v>
      </c>
      <c r="P129" s="18" t="s">
        <v>499</v>
      </c>
      <c r="Q129" s="18" t="s">
        <v>502</v>
      </c>
      <c r="R129" s="19" t="n">
        <v>3000</v>
      </c>
      <c r="S129" s="19" t="n">
        <f aca="false">R129-M129</f>
        <v>1200</v>
      </c>
      <c r="T129" s="10"/>
      <c r="U129" s="19" t="n">
        <f aca="false">R129</f>
        <v>3000</v>
      </c>
      <c r="V129" s="22" t="s">
        <v>503</v>
      </c>
      <c r="W129" s="20" t="s">
        <v>51</v>
      </c>
      <c r="X129" s="10"/>
      <c r="Y129" s="17" t="n">
        <v>1200</v>
      </c>
      <c r="Z129" s="10"/>
      <c r="AA129" s="17" t="n">
        <v>1800</v>
      </c>
    </row>
    <row r="130" customFormat="false" ht="123.1" hidden="false" customHeight="false" outlineLevel="0" collapsed="false">
      <c r="A130" s="10"/>
      <c r="B130" s="10"/>
      <c r="C130" s="11" t="s">
        <v>103</v>
      </c>
      <c r="D130" s="12" t="s">
        <v>104</v>
      </c>
      <c r="E130" s="10"/>
      <c r="F130" s="10" t="n">
        <v>212</v>
      </c>
      <c r="G130" s="20" t="s">
        <v>456</v>
      </c>
      <c r="H130" s="13" t="s">
        <v>457</v>
      </c>
      <c r="I130" s="24" t="s">
        <v>30</v>
      </c>
      <c r="J130" s="24" t="s">
        <v>458</v>
      </c>
      <c r="K130" s="31" t="s">
        <v>504</v>
      </c>
      <c r="L130" s="16" t="s">
        <v>505</v>
      </c>
      <c r="M130" s="23" t="n">
        <v>30000</v>
      </c>
      <c r="N130" s="17" t="s">
        <v>30</v>
      </c>
      <c r="O130" s="17" t="s">
        <v>458</v>
      </c>
      <c r="P130" s="18" t="s">
        <v>506</v>
      </c>
      <c r="Q130" s="18" t="s">
        <v>507</v>
      </c>
      <c r="R130" s="19" t="n">
        <v>30000</v>
      </c>
      <c r="S130" s="19" t="n">
        <f aca="false">R130-M130</f>
        <v>0</v>
      </c>
      <c r="T130" s="10"/>
      <c r="U130" s="10"/>
      <c r="V130" s="12"/>
      <c r="W130" s="20" t="s">
        <v>51</v>
      </c>
      <c r="X130" s="10"/>
      <c r="Y130" s="10"/>
      <c r="Z130" s="10"/>
      <c r="AA130" s="17" t="n">
        <v>30000</v>
      </c>
    </row>
    <row r="131" customFormat="false" ht="110.4" hidden="false" customHeight="false" outlineLevel="0" collapsed="false">
      <c r="A131" s="10"/>
      <c r="B131" s="10"/>
      <c r="C131" s="10"/>
      <c r="D131" s="12"/>
      <c r="E131" s="10"/>
      <c r="F131" s="10" t="n">
        <v>3</v>
      </c>
      <c r="G131" s="10" t="s">
        <v>508</v>
      </c>
      <c r="H131" s="12" t="s">
        <v>509</v>
      </c>
      <c r="I131" s="24" t="s">
        <v>26</v>
      </c>
      <c r="J131" s="24" t="s">
        <v>55</v>
      </c>
      <c r="K131" s="25" t="s">
        <v>510</v>
      </c>
      <c r="L131" s="27" t="s">
        <v>511</v>
      </c>
      <c r="M131" s="20" t="n">
        <f aca="false">5*100</f>
        <v>500</v>
      </c>
      <c r="N131" s="17" t="s">
        <v>26</v>
      </c>
      <c r="O131" s="17" t="s">
        <v>55</v>
      </c>
      <c r="P131" s="27" t="s">
        <v>510</v>
      </c>
      <c r="Q131" s="27" t="s">
        <v>512</v>
      </c>
      <c r="R131" s="19" t="n">
        <v>5000</v>
      </c>
      <c r="S131" s="10"/>
      <c r="T131" s="19" t="n">
        <f aca="false">R131-M131</f>
        <v>4500</v>
      </c>
      <c r="U131" s="19" t="n">
        <v>5000</v>
      </c>
      <c r="V131" s="12"/>
      <c r="W131" s="20" t="s">
        <v>51</v>
      </c>
      <c r="X131" s="21" t="n">
        <v>2500</v>
      </c>
      <c r="Y131" s="10"/>
      <c r="Z131" s="21" t="n">
        <v>2500</v>
      </c>
      <c r="AA131" s="10"/>
    </row>
    <row r="132" customFormat="false" ht="97" hidden="false" customHeight="false" outlineLevel="0" collapsed="false">
      <c r="A132" s="10"/>
      <c r="B132" s="10"/>
      <c r="C132" s="10"/>
      <c r="D132" s="12"/>
      <c r="E132" s="10"/>
      <c r="F132" s="10" t="n">
        <v>5</v>
      </c>
      <c r="G132" s="10" t="s">
        <v>508</v>
      </c>
      <c r="H132" s="12" t="s">
        <v>513</v>
      </c>
      <c r="I132" s="24" t="s">
        <v>26</v>
      </c>
      <c r="J132" s="24" t="s">
        <v>501</v>
      </c>
      <c r="K132" s="12"/>
      <c r="L132" s="12"/>
      <c r="M132" s="10"/>
      <c r="N132" s="24" t="s">
        <v>26</v>
      </c>
      <c r="O132" s="24" t="s">
        <v>501</v>
      </c>
      <c r="P132" s="27" t="s">
        <v>514</v>
      </c>
      <c r="Q132" s="27" t="s">
        <v>515</v>
      </c>
      <c r="R132" s="17" t="n">
        <v>2100</v>
      </c>
      <c r="S132" s="10"/>
      <c r="T132" s="19" t="n">
        <f aca="false">R132-M132</f>
        <v>2100</v>
      </c>
      <c r="U132" s="17" t="n">
        <v>2100</v>
      </c>
      <c r="V132" s="12"/>
      <c r="W132" s="20" t="s">
        <v>51</v>
      </c>
      <c r="X132" s="21" t="n">
        <v>525</v>
      </c>
      <c r="Y132" s="21" t="n">
        <v>525</v>
      </c>
      <c r="Z132" s="21" t="n">
        <v>525</v>
      </c>
      <c r="AA132" s="21" t="n">
        <v>525</v>
      </c>
    </row>
    <row r="133" customFormat="false" ht="85.8" hidden="false" customHeight="false" outlineLevel="0" collapsed="false">
      <c r="A133" s="10"/>
      <c r="B133" s="10"/>
      <c r="C133" s="10"/>
      <c r="D133" s="12"/>
      <c r="E133" s="10"/>
      <c r="F133" s="10" t="n">
        <v>28</v>
      </c>
      <c r="G133" s="10" t="s">
        <v>508</v>
      </c>
      <c r="H133" s="12" t="s">
        <v>513</v>
      </c>
      <c r="I133" s="24" t="s">
        <v>26</v>
      </c>
      <c r="J133" s="24" t="s">
        <v>501</v>
      </c>
      <c r="K133" s="25" t="s">
        <v>516</v>
      </c>
      <c r="L133" s="27" t="s">
        <v>517</v>
      </c>
      <c r="M133" s="20" t="n">
        <v>4400</v>
      </c>
      <c r="N133" s="24" t="s">
        <v>26</v>
      </c>
      <c r="O133" s="24" t="s">
        <v>501</v>
      </c>
      <c r="P133" s="27" t="s">
        <v>516</v>
      </c>
      <c r="Q133" s="27" t="s">
        <v>518</v>
      </c>
      <c r="R133" s="17" t="n">
        <v>4400</v>
      </c>
      <c r="S133" s="10"/>
      <c r="T133" s="19" t="n">
        <f aca="false">R133-M133</f>
        <v>0</v>
      </c>
      <c r="U133" s="17" t="n">
        <v>4400</v>
      </c>
      <c r="V133" s="12"/>
      <c r="W133" s="20" t="s">
        <v>51</v>
      </c>
      <c r="X133" s="21" t="n">
        <v>1100</v>
      </c>
      <c r="Y133" s="21" t="n">
        <v>1100</v>
      </c>
      <c r="Z133" s="21" t="n">
        <v>1100</v>
      </c>
      <c r="AA133" s="21" t="n">
        <v>1100</v>
      </c>
    </row>
    <row r="134" customFormat="false" ht="110.4" hidden="false" customHeight="false" outlineLevel="0" collapsed="false">
      <c r="A134" s="10"/>
      <c r="B134" s="10"/>
      <c r="C134" s="10"/>
      <c r="D134" s="12"/>
      <c r="E134" s="10"/>
      <c r="F134" s="10" t="n">
        <v>15</v>
      </c>
      <c r="G134" s="10" t="s">
        <v>519</v>
      </c>
      <c r="H134" s="12" t="s">
        <v>520</v>
      </c>
      <c r="I134" s="14" t="s">
        <v>30</v>
      </c>
      <c r="J134" s="14" t="s">
        <v>86</v>
      </c>
      <c r="K134" s="12" t="s">
        <v>521</v>
      </c>
      <c r="L134" s="27" t="s">
        <v>522</v>
      </c>
      <c r="M134" s="20" t="n">
        <v>140</v>
      </c>
      <c r="N134" s="17" t="s">
        <v>30</v>
      </c>
      <c r="O134" s="17" t="s">
        <v>86</v>
      </c>
      <c r="P134" s="25" t="s">
        <v>521</v>
      </c>
      <c r="Q134" s="16" t="s">
        <v>522</v>
      </c>
      <c r="R134" s="19" t="n">
        <v>140</v>
      </c>
      <c r="S134" s="19" t="n">
        <f aca="false">R134-M134</f>
        <v>0</v>
      </c>
      <c r="T134" s="10"/>
      <c r="U134" s="19" t="n">
        <v>140</v>
      </c>
      <c r="V134" s="12"/>
      <c r="W134" s="20" t="s">
        <v>110</v>
      </c>
      <c r="X134" s="10"/>
      <c r="Y134" s="10"/>
      <c r="Z134" s="21" t="n">
        <v>100</v>
      </c>
      <c r="AA134" s="21" t="n">
        <v>40</v>
      </c>
    </row>
    <row r="135" customFormat="false" ht="97" hidden="false" customHeight="false" outlineLevel="0" collapsed="false">
      <c r="A135" s="10"/>
      <c r="B135" s="10"/>
      <c r="C135" s="10"/>
      <c r="D135" s="12"/>
      <c r="E135" s="10"/>
      <c r="F135" s="10" t="n">
        <v>23</v>
      </c>
      <c r="G135" s="10" t="s">
        <v>519</v>
      </c>
      <c r="H135" s="12" t="s">
        <v>523</v>
      </c>
      <c r="I135" s="14" t="s">
        <v>30</v>
      </c>
      <c r="J135" s="14" t="s">
        <v>86</v>
      </c>
      <c r="K135" s="15" t="s">
        <v>524</v>
      </c>
      <c r="L135" s="16" t="s">
        <v>525</v>
      </c>
      <c r="M135" s="20" t="n">
        <v>120</v>
      </c>
      <c r="N135" s="17" t="s">
        <v>30</v>
      </c>
      <c r="O135" s="17" t="s">
        <v>86</v>
      </c>
      <c r="P135" s="25" t="s">
        <v>524</v>
      </c>
      <c r="Q135" s="16" t="s">
        <v>525</v>
      </c>
      <c r="R135" s="19" t="n">
        <v>120</v>
      </c>
      <c r="S135" s="19" t="n">
        <f aca="false">R135-M135</f>
        <v>0</v>
      </c>
      <c r="T135" s="10"/>
      <c r="U135" s="19" t="n">
        <v>120</v>
      </c>
      <c r="V135" s="12"/>
      <c r="W135" s="20" t="s">
        <v>51</v>
      </c>
      <c r="X135" s="21" t="n">
        <v>30</v>
      </c>
      <c r="Y135" s="21" t="n">
        <v>30</v>
      </c>
      <c r="Z135" s="21" t="n">
        <v>30</v>
      </c>
      <c r="AA135" s="21" t="n">
        <v>30</v>
      </c>
    </row>
    <row r="136" customFormat="false" ht="97" hidden="false" customHeight="false" outlineLevel="0" collapsed="false">
      <c r="A136" s="10"/>
      <c r="B136" s="10"/>
      <c r="C136" s="10"/>
      <c r="D136" s="12"/>
      <c r="E136" s="10"/>
      <c r="F136" s="10" t="n">
        <v>24</v>
      </c>
      <c r="G136" s="10" t="s">
        <v>519</v>
      </c>
      <c r="H136" s="12" t="s">
        <v>523</v>
      </c>
      <c r="I136" s="14" t="s">
        <v>30</v>
      </c>
      <c r="J136" s="14" t="s">
        <v>86</v>
      </c>
      <c r="K136" s="15" t="s">
        <v>526</v>
      </c>
      <c r="L136" s="16" t="s">
        <v>525</v>
      </c>
      <c r="M136" s="20" t="n">
        <v>120</v>
      </c>
      <c r="N136" s="17" t="s">
        <v>30</v>
      </c>
      <c r="O136" s="17" t="s">
        <v>86</v>
      </c>
      <c r="P136" s="25" t="s">
        <v>526</v>
      </c>
      <c r="Q136" s="16" t="s">
        <v>525</v>
      </c>
      <c r="R136" s="19" t="n">
        <v>120</v>
      </c>
      <c r="S136" s="19" t="n">
        <f aca="false">R136-M136</f>
        <v>0</v>
      </c>
      <c r="T136" s="10"/>
      <c r="U136" s="19" t="n">
        <v>120</v>
      </c>
      <c r="V136" s="12"/>
      <c r="W136" s="20" t="s">
        <v>51</v>
      </c>
      <c r="X136" s="21" t="n">
        <v>30</v>
      </c>
      <c r="Y136" s="21" t="n">
        <v>30</v>
      </c>
      <c r="Z136" s="21" t="n">
        <v>30</v>
      </c>
      <c r="AA136" s="21" t="n">
        <v>30</v>
      </c>
    </row>
    <row r="137" customFormat="false" ht="152.2" hidden="false" customHeight="false" outlineLevel="0" collapsed="false">
      <c r="A137" s="10"/>
      <c r="B137" s="10"/>
      <c r="C137" s="10"/>
      <c r="D137" s="12"/>
      <c r="E137" s="10"/>
      <c r="F137" s="10" t="n">
        <v>25</v>
      </c>
      <c r="G137" s="10" t="s">
        <v>519</v>
      </c>
      <c r="H137" s="12" t="s">
        <v>523</v>
      </c>
      <c r="I137" s="14" t="s">
        <v>30</v>
      </c>
      <c r="J137" s="14" t="s">
        <v>86</v>
      </c>
      <c r="K137" s="15" t="s">
        <v>527</v>
      </c>
      <c r="L137" s="16" t="s">
        <v>528</v>
      </c>
      <c r="M137" s="20" t="n">
        <v>1120</v>
      </c>
      <c r="N137" s="14" t="s">
        <v>30</v>
      </c>
      <c r="O137" s="17" t="s">
        <v>86</v>
      </c>
      <c r="P137" s="25" t="s">
        <v>527</v>
      </c>
      <c r="Q137" s="16" t="s">
        <v>528</v>
      </c>
      <c r="R137" s="20" t="n">
        <v>1120</v>
      </c>
      <c r="S137" s="19" t="n">
        <f aca="false">R137-M137</f>
        <v>0</v>
      </c>
      <c r="T137" s="10"/>
      <c r="U137" s="20" t="n">
        <v>1120</v>
      </c>
      <c r="V137" s="12"/>
      <c r="W137" s="20" t="s">
        <v>51</v>
      </c>
      <c r="X137" s="21" t="n">
        <v>280</v>
      </c>
      <c r="Y137" s="21" t="n">
        <v>280</v>
      </c>
      <c r="Z137" s="21" t="n">
        <v>280</v>
      </c>
      <c r="AA137" s="21" t="n">
        <v>280</v>
      </c>
    </row>
    <row r="138" customFormat="false" ht="109.7" hidden="false" customHeight="false" outlineLevel="0" collapsed="false">
      <c r="A138" s="10"/>
      <c r="B138" s="10"/>
      <c r="C138" s="10"/>
      <c r="D138" s="12"/>
      <c r="E138" s="10"/>
      <c r="F138" s="10" t="n">
        <v>23</v>
      </c>
      <c r="G138" s="23" t="s">
        <v>529</v>
      </c>
      <c r="H138" s="25" t="s">
        <v>530</v>
      </c>
      <c r="I138" s="24" t="s">
        <v>30</v>
      </c>
      <c r="J138" s="24" t="s">
        <v>86</v>
      </c>
      <c r="K138" s="25" t="s">
        <v>531</v>
      </c>
      <c r="L138" s="25" t="s">
        <v>532</v>
      </c>
      <c r="M138" s="20" t="n">
        <v>5400</v>
      </c>
      <c r="N138" s="24" t="s">
        <v>30</v>
      </c>
      <c r="O138" s="24" t="s">
        <v>86</v>
      </c>
      <c r="P138" s="25" t="s">
        <v>531</v>
      </c>
      <c r="Q138" s="27" t="s">
        <v>533</v>
      </c>
      <c r="R138" s="20" t="n">
        <v>7200</v>
      </c>
      <c r="S138" s="10"/>
      <c r="T138" s="19" t="n">
        <f aca="false">R138-M138</f>
        <v>1800</v>
      </c>
      <c r="U138" s="20" t="n">
        <v>7200</v>
      </c>
      <c r="V138" s="12"/>
      <c r="W138" s="20" t="s">
        <v>51</v>
      </c>
      <c r="X138" s="20" t="n">
        <v>1800</v>
      </c>
      <c r="Y138" s="20" t="n">
        <v>1800</v>
      </c>
      <c r="Z138" s="20" t="n">
        <v>1800</v>
      </c>
      <c r="AA138" s="20" t="n">
        <v>1800</v>
      </c>
    </row>
    <row r="139" customFormat="false" ht="96.25" hidden="false" customHeight="false" outlineLevel="0" collapsed="false">
      <c r="A139" s="10"/>
      <c r="B139" s="10"/>
      <c r="C139" s="10"/>
      <c r="D139" s="12"/>
      <c r="E139" s="10"/>
      <c r="F139" s="10" t="n">
        <v>22</v>
      </c>
      <c r="G139" s="23" t="s">
        <v>534</v>
      </c>
      <c r="H139" s="13" t="s">
        <v>535</v>
      </c>
      <c r="I139" s="24" t="s">
        <v>26</v>
      </c>
      <c r="J139" s="24" t="s">
        <v>86</v>
      </c>
      <c r="K139" s="32" t="s">
        <v>536</v>
      </c>
      <c r="L139" s="16" t="s">
        <v>537</v>
      </c>
      <c r="M139" s="20" t="n">
        <v>785</v>
      </c>
      <c r="N139" s="17" t="s">
        <v>26</v>
      </c>
      <c r="O139" s="17" t="s">
        <v>86</v>
      </c>
      <c r="P139" s="26" t="s">
        <v>536</v>
      </c>
      <c r="Q139" s="16" t="s">
        <v>538</v>
      </c>
      <c r="R139" s="19" t="n">
        <v>900</v>
      </c>
      <c r="S139" s="10"/>
      <c r="T139" s="19" t="n">
        <f aca="false">R139-M139</f>
        <v>115</v>
      </c>
      <c r="U139" s="19" t="n">
        <v>900</v>
      </c>
      <c r="V139" s="12"/>
      <c r="W139" s="20" t="s">
        <v>42</v>
      </c>
      <c r="X139" s="21" t="n">
        <v>450</v>
      </c>
      <c r="Y139" s="21" t="n">
        <v>450</v>
      </c>
      <c r="Z139" s="21" t="n">
        <v>0</v>
      </c>
      <c r="AA139" s="21" t="n">
        <v>0</v>
      </c>
    </row>
    <row r="140" customFormat="false" ht="110.4" hidden="false" customHeight="false" outlineLevel="0" collapsed="false">
      <c r="A140" s="10"/>
      <c r="B140" s="10"/>
      <c r="C140" s="10"/>
      <c r="D140" s="12"/>
      <c r="E140" s="10"/>
      <c r="F140" s="10" t="n">
        <v>24</v>
      </c>
      <c r="G140" s="23" t="s">
        <v>534</v>
      </c>
      <c r="H140" s="13" t="s">
        <v>539</v>
      </c>
      <c r="I140" s="24" t="s">
        <v>26</v>
      </c>
      <c r="J140" s="24" t="s">
        <v>86</v>
      </c>
      <c r="K140" s="32" t="s">
        <v>540</v>
      </c>
      <c r="L140" s="16" t="s">
        <v>541</v>
      </c>
      <c r="M140" s="20" t="n">
        <v>360</v>
      </c>
      <c r="N140" s="17" t="s">
        <v>26</v>
      </c>
      <c r="O140" s="17" t="s">
        <v>86</v>
      </c>
      <c r="P140" s="26" t="s">
        <v>540</v>
      </c>
      <c r="Q140" s="18" t="s">
        <v>542</v>
      </c>
      <c r="R140" s="19" t="n">
        <v>150</v>
      </c>
      <c r="S140" s="10"/>
      <c r="T140" s="19" t="n">
        <f aca="false">R140-M140</f>
        <v>-210</v>
      </c>
      <c r="U140" s="19" t="n">
        <v>150</v>
      </c>
      <c r="V140" s="12"/>
      <c r="W140" s="20" t="s">
        <v>51</v>
      </c>
      <c r="X140" s="10"/>
      <c r="Y140" s="10"/>
      <c r="Z140" s="21" t="n">
        <v>75</v>
      </c>
      <c r="AA140" s="21" t="n">
        <v>75</v>
      </c>
    </row>
    <row r="141" customFormat="false" ht="109.7" hidden="false" customHeight="false" outlineLevel="0" collapsed="false">
      <c r="A141" s="10"/>
      <c r="B141" s="10"/>
      <c r="C141" s="10"/>
      <c r="D141" s="12"/>
      <c r="E141" s="10"/>
      <c r="F141" s="10" t="n">
        <v>31</v>
      </c>
      <c r="G141" s="10" t="s">
        <v>543</v>
      </c>
      <c r="H141" s="12" t="s">
        <v>544</v>
      </c>
      <c r="I141" s="24" t="s">
        <v>30</v>
      </c>
      <c r="J141" s="24" t="s">
        <v>86</v>
      </c>
      <c r="K141" s="33" t="s">
        <v>545</v>
      </c>
      <c r="L141" s="16" t="s">
        <v>546</v>
      </c>
      <c r="M141" s="20" t="n">
        <v>3000</v>
      </c>
      <c r="N141" s="24" t="s">
        <v>30</v>
      </c>
      <c r="O141" s="24" t="s">
        <v>86</v>
      </c>
      <c r="P141" s="33" t="s">
        <v>545</v>
      </c>
      <c r="Q141" s="16" t="s">
        <v>546</v>
      </c>
      <c r="R141" s="19" t="n">
        <v>3000</v>
      </c>
      <c r="S141" s="10"/>
      <c r="T141" s="19" t="n">
        <f aca="false">R141-M141</f>
        <v>0</v>
      </c>
      <c r="U141" s="19" t="n">
        <v>3000</v>
      </c>
      <c r="V141" s="12"/>
      <c r="W141" s="20" t="s">
        <v>51</v>
      </c>
      <c r="X141" s="20" t="n">
        <v>750</v>
      </c>
      <c r="Y141" s="20" t="n">
        <v>750</v>
      </c>
      <c r="Z141" s="20" t="n">
        <v>750</v>
      </c>
      <c r="AA141" s="20" t="n">
        <v>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2026-10-27T04:20:38Z</dcterms:created>
  <dc:creator>User</dc:creator>
  <dc:description/>
  <dc:language>en-US</dc:language>
  <cp:lastModifiedBy>User</cp:lastModifiedBy>
  <dcterms:modified xsi:type="dcterms:W3CDTF">2026-10-27T04:36:01Z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