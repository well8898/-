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<sst xmlns="http://schemas.openxmlformats.org/spreadsheetml/2006/main" count="2043" uniqueCount="705">
  <si>
    <t xml:space="preserve">노조순번</t>
  </si>
  <si>
    <t xml:space="preserve">중요도</t>
  </si>
  <si>
    <t xml:space="preserve">구분</t>
  </si>
  <si>
    <t xml:space="preserve">관련공약</t>
  </si>
  <si>
    <t xml:space="preserve">증액</t>
  </si>
  <si>
    <t xml:space="preserve">순번</t>
  </si>
  <si>
    <t xml:space="preserve">담당부서</t>
  </si>
  <si>
    <t xml:space="preserve">세부사업계획명</t>
  </si>
  <si>
    <t xml:space="preserve">관</t>
  </si>
  <si>
    <t xml:space="preserve">세목</t>
  </si>
  <si>
    <t xml:space="preserve">세부사업(2026년)</t>
  </si>
  <si>
    <t xml:space="preserve">산출내역(2026년)</t>
  </si>
  <si>
    <t xml:space="preserve">최종예산(2026년)</t>
  </si>
  <si>
    <t xml:space="preserve">세부사업(2027년)</t>
  </si>
  <si>
    <t xml:space="preserve">산출내역(2027년)</t>
  </si>
  <si>
    <t xml:space="preserve">요구예산(2027년)</t>
  </si>
  <si>
    <t xml:space="preserve">전년대비 증감</t>
  </si>
  <si>
    <t xml:space="preserve">비고(원본 메모)</t>
  </si>
  <si>
    <t xml:space="preserve">최종예산(2027년) - 기획예산실 작성</t>
  </si>
  <si>
    <t xml:space="preserve">증가사유</t>
  </si>
  <si>
    <r>
      <rPr>
        <b val="true"/>
        <sz val="10"/>
        <color theme="0"/>
        <rFont val="맑은 고딕"/>
        <family val="3"/>
        <charset val="129"/>
      </rPr>
      <t xml:space="preserve">1</t>
    </r>
    <r>
      <rPr>
        <b val="true"/>
        <sz val="10"/>
        <color theme="0"/>
        <rFont val="WenQuanYi Zen Hei"/>
        <family val="2"/>
      </rPr>
      <t xml:space="preserve">분기</t>
    </r>
  </si>
  <si>
    <r>
      <rPr>
        <b val="true"/>
        <sz val="10"/>
        <color theme="0"/>
        <rFont val="맑은 고딕"/>
        <family val="3"/>
        <charset val="129"/>
      </rPr>
      <t xml:space="preserve">2</t>
    </r>
    <r>
      <rPr>
        <b val="true"/>
        <sz val="10"/>
        <color theme="0"/>
        <rFont val="WenQuanYi Zen Hei"/>
        <family val="2"/>
      </rPr>
      <t xml:space="preserve">분기</t>
    </r>
  </si>
  <si>
    <r>
      <rPr>
        <b val="true"/>
        <sz val="10"/>
        <color theme="0"/>
        <rFont val="맑은 고딕"/>
        <family val="3"/>
        <charset val="129"/>
      </rPr>
      <t xml:space="preserve">3</t>
    </r>
    <r>
      <rPr>
        <b val="true"/>
        <sz val="10"/>
        <color theme="0"/>
        <rFont val="WenQuanYi Zen Hei"/>
        <family val="2"/>
      </rPr>
      <t xml:space="preserve">분기</t>
    </r>
  </si>
  <si>
    <r>
      <rPr>
        <b val="true"/>
        <sz val="10"/>
        <color theme="0"/>
        <rFont val="맑은 고딕"/>
        <family val="3"/>
        <charset val="129"/>
      </rPr>
      <t xml:space="preserve">4</t>
    </r>
    <r>
      <rPr>
        <b val="true"/>
        <sz val="10"/>
        <color theme="0"/>
        <rFont val="WenQuanYi Zen Hei"/>
        <family val="2"/>
      </rPr>
      <t xml:space="preserve">분기</t>
    </r>
  </si>
  <si>
    <t xml:space="preserve">상</t>
  </si>
  <si>
    <t xml:space="preserve">생성형AI</t>
  </si>
  <si>
    <r>
      <rPr>
        <sz val="11"/>
        <color theme="1"/>
        <rFont val="맑은 고딕"/>
        <family val="2"/>
        <charset val="129"/>
      </rPr>
      <t xml:space="preserve">10-</t>
    </r>
    <r>
      <rPr>
        <sz val="11"/>
        <color theme="1"/>
        <rFont val="WenQuanYi Zen Hei"/>
        <family val="2"/>
      </rPr>
      <t xml:space="preserve">가</t>
    </r>
    <r>
      <rPr>
        <sz val="11"/>
        <color theme="1"/>
        <rFont val="맑은 고딕"/>
        <family val="2"/>
        <charset val="129"/>
      </rPr>
      <t xml:space="preserve">-2) </t>
    </r>
    <r>
      <rPr>
        <sz val="11"/>
        <color theme="1"/>
        <rFont val="WenQuanYi Zen Hei"/>
        <family val="2"/>
      </rPr>
      <t xml:space="preserve">희망자 외부교육 보장</t>
    </r>
    <r>
      <rPr>
        <sz val="11"/>
        <color theme="1"/>
        <rFont val="맑은 고딕"/>
        <family val="2"/>
        <charset val="129"/>
      </rPr>
      <t xml:space="preserve">(2</t>
    </r>
    <r>
      <rPr>
        <sz val="11"/>
        <color theme="1"/>
        <rFont val="WenQuanYi Zen Hei"/>
        <family val="2"/>
      </rPr>
      <t xml:space="preserve">년 </t>
    </r>
    <r>
      <rPr>
        <sz val="11"/>
        <color theme="1"/>
        <rFont val="맑은 고딕"/>
        <family val="2"/>
        <charset val="129"/>
      </rPr>
      <t xml:space="preserve">1</t>
    </r>
    <r>
      <rPr>
        <sz val="11"/>
        <color theme="1"/>
        <rFont val="WenQuanYi Zen Hei"/>
        <family val="2"/>
      </rPr>
      <t xml:space="preserve">회 </t>
    </r>
    <r>
      <rPr>
        <sz val="11"/>
        <color theme="1"/>
        <rFont val="맑은 고딕"/>
        <family val="2"/>
        <charset val="129"/>
      </rPr>
      <t xml:space="preserve">50</t>
    </r>
    <r>
      <rPr>
        <sz val="11"/>
        <color theme="1"/>
        <rFont val="WenQuanYi Zen Hei"/>
        <family val="2"/>
      </rPr>
      <t xml:space="preserve">만원</t>
    </r>
    <r>
      <rPr>
        <sz val="11"/>
        <color theme="1"/>
        <rFont val="맑은 고딕"/>
        <family val="2"/>
        <charset val="129"/>
      </rPr>
      <t xml:space="preserve">, ex. AI·</t>
    </r>
    <r>
      <rPr>
        <sz val="11"/>
        <color theme="1"/>
        <rFont val="WenQuanYi Zen Hei"/>
        <family val="2"/>
      </rPr>
      <t xml:space="preserve">드론 교육 등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</si>
  <si>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맑은 고딕"/>
        <family val="2"/>
        <charset val="129"/>
      </rPr>
      <t xml:space="preserve">1-3-1. AI</t>
    </r>
    <r>
      <rPr>
        <sz val="11"/>
        <color theme="1"/>
        <rFont val="WenQuanYi Zen Hei"/>
        <family val="2"/>
      </rPr>
      <t xml:space="preserve">전략실</t>
    </r>
  </si>
  <si>
    <r>
      <rPr>
        <sz val="11"/>
        <color theme="1"/>
        <rFont val="맑은 고딕"/>
        <family val="2"/>
        <charset val="129"/>
      </rPr>
      <t xml:space="preserve">12-7-6. </t>
    </r>
    <r>
      <rPr>
        <sz val="11"/>
        <color theme="1"/>
        <rFont val="WenQuanYi Zen Hei"/>
        <family val="2"/>
      </rPr>
      <t xml:space="preserve">승강기 안전관리 </t>
    </r>
    <r>
      <rPr>
        <sz val="11"/>
        <color theme="1"/>
        <rFont val="맑은 고딕"/>
        <family val="2"/>
        <charset val="129"/>
      </rPr>
      <t xml:space="preserve">AI </t>
    </r>
    <r>
      <rPr>
        <sz val="11"/>
        <color theme="1"/>
        <rFont val="WenQuanYi Zen Hei"/>
        <family val="2"/>
      </rPr>
      <t xml:space="preserve">전환 정책의 역동적 운영</t>
    </r>
  </si>
  <si>
    <t xml:space="preserve">사업비</t>
  </si>
  <si>
    <t xml:space="preserve">기타수수료</t>
  </si>
  <si>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WenQuanYi Zen Hei"/>
        <family val="2"/>
      </rPr>
      <t xml:space="preserve">역량강화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WenQuanYi Zen Hei"/>
        <family val="2"/>
      </rPr>
      <t xml:space="preserve">생성형 </t>
    </r>
    <r>
      <rPr>
        <sz val="11"/>
        <color theme="1"/>
        <rFont val="맑은 고딕"/>
        <family val="2"/>
        <charset val="129"/>
      </rPr>
      <t xml:space="preserve">AI </t>
    </r>
    <r>
      <rPr>
        <sz val="11"/>
        <color theme="1"/>
        <rFont val="WenQuanYi Zen Hei"/>
        <family val="2"/>
      </rPr>
      <t xml:space="preserve">프로그램 유료계정 구독</t>
    </r>
  </si>
  <si>
    <r>
      <rPr>
        <sz val="11"/>
        <color theme="1"/>
        <rFont val="맑은 고딕"/>
        <family val="2"/>
        <charset val="129"/>
      </rPr>
      <t xml:space="preserve">= 40</t>
    </r>
    <r>
      <rPr>
        <sz val="11"/>
        <color theme="1"/>
        <rFont val="WenQuanYi Zen Hei"/>
        <family val="2"/>
      </rPr>
      <t xml:space="preserve">개소</t>
    </r>
    <r>
      <rPr>
        <sz val="11"/>
        <color theme="1"/>
        <rFont val="맑은 고딕"/>
        <family val="2"/>
        <charset val="129"/>
      </rPr>
      <t xml:space="preserve">×12</t>
    </r>
    <r>
      <rPr>
        <sz val="11"/>
        <color theme="1"/>
        <rFont val="WenQuanYi Zen Hei"/>
        <family val="2"/>
      </rPr>
      <t xml:space="preserve">개월</t>
    </r>
    <r>
      <rPr>
        <sz val="11"/>
        <color theme="1"/>
        <rFont val="맑은 고딕"/>
        <family val="2"/>
        <charset val="129"/>
      </rPr>
      <t xml:space="preserve">×70</t>
    </r>
    <r>
      <rPr>
        <sz val="11"/>
        <color theme="1"/>
        <rFont val="WenQuanYi Zen Hei"/>
        <family val="2"/>
      </rPr>
      <t xml:space="preserve">천원</t>
    </r>
  </si>
  <si>
    <t xml:space="preserve">관리비</t>
  </si>
  <si>
    <r>
      <rPr>
        <sz val="11"/>
        <color theme="1"/>
        <rFont val="맑은 고딕"/>
        <family val="2"/>
        <charset val="129"/>
      </rPr>
      <t xml:space="preserve">= 36</t>
    </r>
    <r>
      <rPr>
        <sz val="11"/>
        <color theme="1"/>
        <rFont val="WenQuanYi Zen Hei"/>
        <family val="2"/>
      </rPr>
      <t xml:space="preserve">개소</t>
    </r>
    <r>
      <rPr>
        <sz val="11"/>
        <color theme="1"/>
        <rFont val="맑은 고딕"/>
        <family val="2"/>
        <charset val="129"/>
      </rPr>
      <t xml:space="preserve">×9</t>
    </r>
    <r>
      <rPr>
        <sz val="11"/>
        <color theme="1"/>
        <rFont val="WenQuanYi Zen Hei"/>
        <family val="2"/>
      </rPr>
      <t xml:space="preserve">개월</t>
    </r>
    <r>
      <rPr>
        <sz val="11"/>
        <color theme="1"/>
        <rFont val="맑은 고딕"/>
        <family val="2"/>
        <charset val="129"/>
      </rPr>
      <t xml:space="preserve">×70</t>
    </r>
    <r>
      <rPr>
        <sz val="11"/>
        <color theme="1"/>
        <rFont val="WenQuanYi Zen Hei"/>
        <family val="2"/>
      </rPr>
      <t xml:space="preserve">천원</t>
    </r>
  </si>
  <si>
    <r>
      <rPr>
        <sz val="11"/>
        <color theme="1"/>
        <rFont val="맑은 고딕"/>
        <family val="2"/>
        <charset val="129"/>
      </rPr>
      <t xml:space="preserve">AI </t>
    </r>
    <r>
      <rPr>
        <sz val="11"/>
        <color theme="1"/>
        <rFont val="WenQuanYi Zen Hei"/>
        <family val="2"/>
      </rPr>
      <t xml:space="preserve">내재화 진전에 따른 구독 개소 축소</t>
    </r>
    <r>
      <rPr>
        <sz val="11"/>
        <color theme="1"/>
        <rFont val="맑은 고딕"/>
        <family val="2"/>
        <charset val="129"/>
      </rPr>
      <t xml:space="preserve">(40→36</t>
    </r>
    <r>
      <rPr>
        <sz val="11"/>
        <color theme="1"/>
        <rFont val="WenQuanYi Zen Hei"/>
        <family val="2"/>
      </rPr>
      <t xml:space="preserve">개소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WenQuanYi Zen Hei"/>
        <family val="2"/>
      </rPr>
      <t xml:space="preserve">중장기 재정운용계획 반영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</si>
  <si>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맑은 고딕"/>
        <family val="2"/>
        <charset val="129"/>
      </rPr>
      <t xml:space="preserve">9</t>
    </r>
    <r>
      <rPr>
        <sz val="11"/>
        <color theme="1"/>
        <rFont val="WenQuanYi Zen Hei"/>
        <family val="2"/>
      </rPr>
      <t xml:space="preserve">월</t>
    </r>
  </si>
  <si>
    <t xml:space="preserve">스마트글라스</t>
  </si>
  <si>
    <r>
      <rPr>
        <sz val="11"/>
        <color theme="1"/>
        <rFont val="맑은 고딕"/>
        <family val="2"/>
        <charset val="129"/>
      </rPr>
      <t xml:space="preserve">12-</t>
    </r>
    <r>
      <rPr>
        <sz val="11"/>
        <color theme="1"/>
        <rFont val="WenQuanYi Zen Hei"/>
        <family val="2"/>
      </rPr>
      <t xml:space="preserve">나</t>
    </r>
    <r>
      <rPr>
        <sz val="11"/>
        <color theme="1"/>
        <rFont val="맑은 고딕"/>
        <family val="2"/>
        <charset val="129"/>
      </rPr>
      <t xml:space="preserve">. AI</t>
    </r>
    <r>
      <rPr>
        <sz val="11"/>
        <color theme="1"/>
        <rFont val="WenQuanYi Zen Hei"/>
        <family val="2"/>
      </rPr>
      <t xml:space="preserve">자동일정 시스템 도입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WenQuanYi Zen Hei"/>
        <family val="2"/>
      </rPr>
      <t xml:space="preserve">승강기별 맞춤 표준화 구현</t>
    </r>
  </si>
  <si>
    <r>
      <rPr>
        <sz val="11"/>
        <color theme="1"/>
        <rFont val="맑은 고딕"/>
        <family val="2"/>
        <charset val="129"/>
      </rPr>
      <t xml:space="preserve">12-7-5. </t>
    </r>
    <r>
      <rPr>
        <sz val="11"/>
        <color theme="1"/>
        <rFont val="WenQuanYi Zen Hei"/>
        <family val="2"/>
      </rPr>
      <t xml:space="preserve">승강기 안전관리 </t>
    </r>
    <r>
      <rPr>
        <sz val="11"/>
        <color theme="1"/>
        <rFont val="맑은 고딕"/>
        <family val="2"/>
        <charset val="129"/>
      </rPr>
      <t xml:space="preserve">AI </t>
    </r>
    <r>
      <rPr>
        <sz val="11"/>
        <color theme="1"/>
        <rFont val="WenQuanYi Zen Hei"/>
        <family val="2"/>
      </rPr>
      <t xml:space="preserve">전환 정책의 체계적 기획</t>
    </r>
  </si>
  <si>
    <t xml:space="preserve">자본투자비</t>
  </si>
  <si>
    <t xml:space="preserve">검사장비</t>
  </si>
  <si>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WenQuanYi Zen Hei"/>
        <family val="2"/>
      </rPr>
      <t xml:space="preserve">과제이행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WenQuanYi Zen Hei"/>
        <family val="2"/>
      </rPr>
      <t xml:space="preserve">스마트 글라스 도입</t>
    </r>
  </si>
  <si>
    <r>
      <rPr>
        <sz val="11"/>
        <color theme="1"/>
        <rFont val="맑은 고딕"/>
        <family val="2"/>
        <charset val="129"/>
      </rPr>
      <t xml:space="preserve">= 5</t>
    </r>
    <r>
      <rPr>
        <sz val="11"/>
        <color theme="1"/>
        <rFont val="WenQuanYi Zen Hei"/>
        <family val="2"/>
      </rPr>
      <t xml:space="preserve">개</t>
    </r>
    <r>
      <rPr>
        <sz val="11"/>
        <color theme="1"/>
        <rFont val="맑은 고딕"/>
        <family val="2"/>
        <charset val="129"/>
      </rPr>
      <t xml:space="preserve">×1,000</t>
    </r>
    <r>
      <rPr>
        <sz val="11"/>
        <color theme="1"/>
        <rFont val="WenQuanYi Zen Hei"/>
        <family val="2"/>
      </rPr>
      <t xml:space="preserve">천원</t>
    </r>
  </si>
  <si>
    <t xml:space="preserve">사업 신설(스마트 글라스 도입 사업)</t>
  </si>
  <si>
    <r>
      <rPr>
        <sz val="11"/>
        <color theme="1"/>
        <rFont val="맑은 고딕"/>
        <family val="2"/>
        <charset val="129"/>
      </rPr>
      <t xml:space="preserve">6</t>
    </r>
    <r>
      <rPr>
        <sz val="11"/>
        <color theme="1"/>
        <rFont val="WenQuanYi Zen Hei"/>
        <family val="2"/>
      </rPr>
      <t xml:space="preserve">월</t>
    </r>
  </si>
  <si>
    <t xml:space="preserve">공모전</t>
  </si>
  <si>
    <r>
      <rPr>
        <sz val="11"/>
        <color theme="1"/>
        <rFont val="맑은 고딕"/>
        <family val="2"/>
        <charset val="129"/>
      </rPr>
      <t xml:space="preserve">12-</t>
    </r>
    <r>
      <rPr>
        <sz val="11"/>
        <color theme="1"/>
        <rFont val="WenQuanYi Zen Hei"/>
        <family val="2"/>
      </rPr>
      <t xml:space="preserve">사</t>
    </r>
    <r>
      <rPr>
        <sz val="11"/>
        <color theme="1"/>
        <rFont val="맑은 고딕"/>
        <family val="2"/>
        <charset val="129"/>
      </rPr>
      <t xml:space="preserve">-1) </t>
    </r>
    <r>
      <rPr>
        <sz val="11"/>
        <color theme="1"/>
        <rFont val="WenQuanYi Zen Hei"/>
        <family val="2"/>
      </rPr>
      <t xml:space="preserve">지사 </t>
    </r>
    <r>
      <rPr>
        <sz val="11"/>
        <color theme="1"/>
        <rFont val="맑은 고딕"/>
        <family val="2"/>
        <charset val="129"/>
      </rPr>
      <t xml:space="preserve">ESG </t>
    </r>
    <r>
      <rPr>
        <sz val="11"/>
        <color theme="1"/>
        <rFont val="WenQuanYi Zen Hei"/>
        <family val="2"/>
      </rPr>
      <t xml:space="preserve">및 지역본부 비계량 보고서 축소</t>
    </r>
  </si>
  <si>
    <r>
      <rPr>
        <sz val="11"/>
        <color theme="1"/>
        <rFont val="맑은 고딕"/>
        <family val="2"/>
        <charset val="129"/>
      </rPr>
      <t xml:space="preserve">2-1-2. ESG</t>
    </r>
    <r>
      <rPr>
        <sz val="11"/>
        <color theme="1"/>
        <rFont val="WenQuanYi Zen Hei"/>
        <family val="2"/>
      </rPr>
      <t xml:space="preserve">기획실</t>
    </r>
  </si>
  <si>
    <r>
      <rPr>
        <sz val="11"/>
        <color theme="1"/>
        <rFont val="맑은 고딕"/>
        <family val="2"/>
        <charset val="129"/>
      </rPr>
      <t xml:space="preserve">11-1-1. ESG </t>
    </r>
    <r>
      <rPr>
        <sz val="11"/>
        <color theme="1"/>
        <rFont val="WenQuanYi Zen Hei"/>
        <family val="2"/>
      </rPr>
      <t xml:space="preserve">경영전략 및 친환경 전략 수립</t>
    </r>
    <r>
      <rPr>
        <sz val="11"/>
        <color theme="1"/>
        <rFont val="맑은 고딕"/>
        <family val="2"/>
        <charset val="129"/>
      </rPr>
      <t xml:space="preserve">·</t>
    </r>
    <r>
      <rPr>
        <sz val="11"/>
        <color theme="1"/>
        <rFont val="WenQuanYi Zen Hei"/>
        <family val="2"/>
      </rPr>
      <t xml:space="preserve">이행</t>
    </r>
  </si>
  <si>
    <t xml:space="preserve">포상비</t>
  </si>
  <si>
    <r>
      <rPr>
        <sz val="11"/>
        <color theme="1"/>
        <rFont val="맑은 고딕"/>
        <family val="2"/>
        <charset val="129"/>
      </rPr>
      <t xml:space="preserve">(E</t>
    </r>
    <r>
      <rPr>
        <sz val="11"/>
        <color theme="1"/>
        <rFont val="WenQuanYi Zen Hei"/>
        <family val="2"/>
      </rPr>
      <t xml:space="preserve">분야 우수사례 발굴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WenQuanYi Zen Hei"/>
        <family val="2"/>
      </rPr>
      <t xml:space="preserve">정책 아이디어 공모전 포상비</t>
    </r>
  </si>
  <si>
    <r>
      <rPr>
        <sz val="11"/>
        <color theme="1"/>
        <rFont val="맑은 고딕"/>
        <family val="2"/>
        <charset val="129"/>
      </rPr>
      <t xml:space="preserve">= 1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2"/>
        <charset val="129"/>
      </rPr>
      <t xml:space="preserve">×3,000</t>
    </r>
    <r>
      <rPr>
        <sz val="11"/>
        <color theme="1"/>
        <rFont val="WenQuanYi Zen Hei"/>
        <family val="2"/>
      </rPr>
      <t xml:space="preserve">천원</t>
    </r>
  </si>
  <si>
    <r>
      <rPr>
        <sz val="11"/>
        <color theme="1"/>
        <rFont val="맑은 고딕"/>
        <family val="2"/>
        <charset val="129"/>
      </rPr>
      <t xml:space="preserve">= (</t>
    </r>
    <r>
      <rPr>
        <sz val="11"/>
        <color theme="1"/>
        <rFont val="WenQuanYi Zen Hei"/>
        <family val="2"/>
      </rPr>
      <t xml:space="preserve">내부</t>
    </r>
    <r>
      <rPr>
        <sz val="11"/>
        <color theme="1"/>
        <rFont val="맑은 고딕"/>
        <family val="2"/>
        <charset val="129"/>
      </rPr>
      <t xml:space="preserve">) (</t>
    </r>
    <r>
      <rPr>
        <sz val="11"/>
        <color theme="1"/>
        <rFont val="WenQuanYi Zen Hei"/>
        <family val="2"/>
      </rPr>
      <t xml:space="preserve">공모분야별 최우수 </t>
    </r>
    <r>
      <rPr>
        <sz val="11"/>
        <color theme="1"/>
        <rFont val="맑은 고딕"/>
        <family val="2"/>
        <charset val="129"/>
      </rPr>
      <t xml:space="preserve">500</t>
    </r>
    <r>
      <rPr>
        <sz val="11"/>
        <color theme="1"/>
        <rFont val="WenQuanYi Zen Hei"/>
        <family val="2"/>
      </rPr>
      <t xml:space="preserve">천원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WenQuanYi Zen Hei"/>
        <family val="2"/>
      </rPr>
      <t xml:space="preserve">우수 </t>
    </r>
    <r>
      <rPr>
        <sz val="11"/>
        <color theme="1"/>
        <rFont val="맑은 고딕"/>
        <family val="2"/>
        <charset val="129"/>
      </rPr>
      <t xml:space="preserve">300</t>
    </r>
    <r>
      <rPr>
        <sz val="11"/>
        <color theme="1"/>
        <rFont val="WenQuanYi Zen Hei"/>
        <family val="2"/>
      </rPr>
      <t xml:space="preserve">천원</t>
    </r>
    <r>
      <rPr>
        <sz val="11"/>
        <color theme="1"/>
        <rFont val="맑은 고딕"/>
        <family val="2"/>
        <charset val="129"/>
      </rPr>
      <t xml:space="preserve">, 200</t>
    </r>
    <r>
      <rPr>
        <sz val="11"/>
        <color theme="1"/>
        <rFont val="WenQuanYi Zen Hei"/>
        <family val="2"/>
      </rPr>
      <t xml:space="preserve">천원</t>
    </r>
    <r>
      <rPr>
        <sz val="11"/>
        <color theme="1"/>
        <rFont val="맑은 고딕"/>
        <family val="2"/>
        <charset val="129"/>
      </rPr>
      <t xml:space="preserve">) x </t>
    </r>
    <r>
      <rPr>
        <sz val="11"/>
        <color theme="1"/>
        <rFont val="WenQuanYi Zen Hei"/>
        <family val="2"/>
      </rPr>
      <t xml:space="preserve">공모분야 </t>
    </r>
    <r>
      <rPr>
        <sz val="11"/>
        <color theme="1"/>
        <rFont val="맑은 고딕"/>
        <family val="2"/>
        <charset val="129"/>
      </rPr>
      <t xml:space="preserve">2</t>
    </r>
    <r>
      <rPr>
        <sz val="11"/>
        <color theme="1"/>
        <rFont val="WenQuanYi Zen Hei"/>
        <family val="2"/>
      </rPr>
      <t xml:space="preserve">개
    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WenQuanYi Zen Hei"/>
        <family val="2"/>
      </rPr>
      <t xml:space="preserve">대국민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WenQuanYi Zen Hei"/>
        <family val="2"/>
      </rPr>
      <t xml:space="preserve">친환경 아이디어 공모전 최우수 </t>
    </r>
    <r>
      <rPr>
        <sz val="11"/>
        <color theme="1"/>
        <rFont val="맑은 고딕"/>
        <family val="2"/>
        <charset val="129"/>
      </rPr>
      <t xml:space="preserve">500</t>
    </r>
    <r>
      <rPr>
        <sz val="11"/>
        <color theme="1"/>
        <rFont val="WenQuanYi Zen Hei"/>
        <family val="2"/>
      </rPr>
      <t xml:space="preserve">천원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WenQuanYi Zen Hei"/>
        <family val="2"/>
      </rPr>
      <t xml:space="preserve">우수 </t>
    </r>
    <r>
      <rPr>
        <sz val="11"/>
        <color theme="1"/>
        <rFont val="맑은 고딕"/>
        <family val="2"/>
        <charset val="129"/>
      </rPr>
      <t xml:space="preserve">300</t>
    </r>
    <r>
      <rPr>
        <sz val="11"/>
        <color theme="1"/>
        <rFont val="WenQuanYi Zen Hei"/>
        <family val="2"/>
      </rPr>
      <t xml:space="preserve">천원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WenQuanYi Zen Hei"/>
        <family val="2"/>
      </rPr>
      <t xml:space="preserve">장려 </t>
    </r>
    <r>
      <rPr>
        <sz val="11"/>
        <color theme="1"/>
        <rFont val="맑은 고딕"/>
        <family val="2"/>
        <charset val="129"/>
      </rPr>
      <t xml:space="preserve">200</t>
    </r>
    <r>
      <rPr>
        <sz val="11"/>
        <color theme="1"/>
        <rFont val="WenQuanYi Zen Hei"/>
        <family val="2"/>
      </rPr>
      <t xml:space="preserve">천원</t>
    </r>
  </si>
  <si>
    <t xml:space="preserve">유지</t>
  </si>
  <si>
    <r>
      <rPr>
        <sz val="11"/>
        <color theme="1"/>
        <rFont val="맑은 고딕"/>
        <family val="2"/>
        <charset val="129"/>
      </rPr>
      <t xml:space="preserve">12</t>
    </r>
    <r>
      <rPr>
        <sz val="11"/>
        <color theme="1"/>
        <rFont val="WenQuanYi Zen Hei"/>
        <family val="2"/>
      </rPr>
      <t xml:space="preserve">월</t>
    </r>
  </si>
  <si>
    <t xml:space="preserve">캠페인</t>
  </si>
  <si>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WenQuanYi Zen Hei"/>
        <family val="2"/>
      </rPr>
      <t xml:space="preserve">친환경 캠페인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WenQuanYi Zen Hei"/>
        <family val="2"/>
      </rPr>
      <t xml:space="preserve">임직원 캠페인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WenQuanYi Zen Hei"/>
        <family val="2"/>
      </rPr>
      <t xml:space="preserve">챌린지 등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WenQuanYi Zen Hei"/>
        <family val="2"/>
      </rPr>
      <t xml:space="preserve">앱 이용 수수료</t>
    </r>
  </si>
  <si>
    <r>
      <rPr>
        <sz val="11"/>
        <color theme="1"/>
        <rFont val="맑은 고딕"/>
        <family val="2"/>
        <charset val="129"/>
      </rPr>
      <t xml:space="preserve">= (</t>
    </r>
    <r>
      <rPr>
        <sz val="11"/>
        <color theme="1"/>
        <rFont val="WenQuanYi Zen Hei"/>
        <family val="2"/>
      </rPr>
      <t xml:space="preserve">앱 수수료</t>
    </r>
    <r>
      <rPr>
        <sz val="11"/>
        <color theme="1"/>
        <rFont val="맑은 고딕"/>
        <family val="2"/>
        <charset val="129"/>
      </rPr>
      <t xml:space="preserve">) 3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2"/>
        <charset val="129"/>
      </rPr>
      <t xml:space="preserve">x1,200</t>
    </r>
    <r>
      <rPr>
        <sz val="11"/>
        <color theme="1"/>
        <rFont val="WenQuanYi Zen Hei"/>
        <family val="2"/>
      </rPr>
      <t xml:space="preserve">천원</t>
    </r>
  </si>
  <si>
    <t xml:space="preserve">사업유지_26년 기중 예산 추가</t>
  </si>
  <si>
    <t xml:space="preserve">홍보비</t>
  </si>
  <si>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WenQuanYi Zen Hei"/>
        <family val="2"/>
      </rPr>
      <t xml:space="preserve">친환경 캠페인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WenQuanYi Zen Hei"/>
        <family val="2"/>
      </rPr>
      <t xml:space="preserve">유관기관 및 지역주민 참여 캠페인 홍보물품 구매</t>
    </r>
  </si>
  <si>
    <r>
      <rPr>
        <sz val="11"/>
        <color theme="1"/>
        <rFont val="맑은 고딕"/>
        <family val="2"/>
        <charset val="129"/>
      </rPr>
      <t xml:space="preserve">= (</t>
    </r>
    <r>
      <rPr>
        <sz val="11"/>
        <color theme="1"/>
        <rFont val="WenQuanYi Zen Hei"/>
        <family val="2"/>
      </rPr>
      <t xml:space="preserve">외부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WenQuanYi Zen Hei"/>
        <family val="2"/>
      </rPr>
      <t xml:space="preserve">캠페인 </t>
    </r>
    <r>
      <rPr>
        <sz val="11"/>
        <color theme="1"/>
        <rFont val="맑은 고딕"/>
        <family val="2"/>
        <charset val="129"/>
      </rPr>
      <t xml:space="preserve">4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2"/>
        <charset val="129"/>
      </rPr>
      <t xml:space="preserve">x150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2"/>
        <charset val="129"/>
      </rPr>
      <t xml:space="preserve">x5</t>
    </r>
    <r>
      <rPr>
        <sz val="11"/>
        <color theme="1"/>
        <rFont val="WenQuanYi Zen Hei"/>
        <family val="2"/>
      </rPr>
      <t xml:space="preserve">천</t>
    </r>
  </si>
  <si>
    <t xml:space="preserve">증액_친환경 탄소중립 사업 추진(홍보물품 구매)</t>
  </si>
  <si>
    <t xml:space="preserve">검사출장비</t>
  </si>
  <si>
    <r>
      <rPr>
        <sz val="11"/>
        <color theme="1"/>
        <rFont val="맑은 고딕"/>
        <family val="2"/>
        <charset val="129"/>
      </rPr>
      <t xml:space="preserve">3-</t>
    </r>
    <r>
      <rPr>
        <sz val="11"/>
        <color theme="1"/>
        <rFont val="WenQuanYi Zen Hei"/>
        <family val="2"/>
      </rPr>
      <t xml:space="preserve">가</t>
    </r>
    <r>
      <rPr>
        <sz val="11"/>
        <color theme="1"/>
        <rFont val="맑은 고딕"/>
        <family val="2"/>
        <charset val="129"/>
      </rPr>
      <t xml:space="preserve">-1) </t>
    </r>
    <r>
      <rPr>
        <sz val="11"/>
        <color theme="1"/>
        <rFont val="WenQuanYi Zen Hei"/>
        <family val="2"/>
      </rPr>
      <t xml:space="preserve">검사출장비 </t>
    </r>
    <r>
      <rPr>
        <sz val="11"/>
        <color theme="1"/>
        <rFont val="맑은 고딕"/>
        <family val="2"/>
        <charset val="129"/>
      </rPr>
      <t xml:space="preserve">2</t>
    </r>
    <r>
      <rPr>
        <sz val="11"/>
        <color theme="1"/>
        <rFont val="WenQuanYi Zen Hei"/>
        <family val="2"/>
      </rPr>
      <t xml:space="preserve">만원 → </t>
    </r>
    <r>
      <rPr>
        <sz val="11"/>
        <color theme="1"/>
        <rFont val="맑은 고딕"/>
        <family val="2"/>
        <charset val="129"/>
      </rPr>
      <t xml:space="preserve">3</t>
    </r>
    <r>
      <rPr>
        <sz val="11"/>
        <color theme="1"/>
        <rFont val="WenQuanYi Zen Hei"/>
        <family val="2"/>
      </rPr>
      <t xml:space="preserve">만원 인상</t>
    </r>
  </si>
  <si>
    <r>
      <rPr>
        <sz val="11"/>
        <color theme="1"/>
        <rFont val="맑은 고딕"/>
        <family val="2"/>
        <charset val="129"/>
      </rPr>
      <t xml:space="preserve">3-1-1. </t>
    </r>
    <r>
      <rPr>
        <sz val="11"/>
        <color theme="1"/>
        <rFont val="WenQuanYi Zen Hei"/>
        <family val="2"/>
      </rPr>
      <t xml:space="preserve">검사총괄실</t>
    </r>
  </si>
  <si>
    <r>
      <rPr>
        <sz val="11"/>
        <color theme="1"/>
        <rFont val="맑은 고딕"/>
        <family val="2"/>
        <charset val="129"/>
      </rPr>
      <t xml:space="preserve">3-2-1. </t>
    </r>
    <r>
      <rPr>
        <sz val="11"/>
        <color theme="1"/>
        <rFont val="WenQuanYi Zen Hei"/>
        <family val="2"/>
      </rPr>
      <t xml:space="preserve">승강기 검사사업 운영 효율화 및 체계 개선</t>
    </r>
  </si>
  <si>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WenQuanYi Zen Hei"/>
        <family val="2"/>
      </rPr>
      <t xml:space="preserve">승강기 검사 효율화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WenQuanYi Zen Hei"/>
        <family val="2"/>
      </rPr>
      <t xml:space="preserve">검사자 검사출장비</t>
    </r>
  </si>
  <si>
    <r>
      <rPr>
        <sz val="11"/>
        <color theme="1"/>
        <rFont val="맑은 고딕"/>
        <family val="2"/>
        <charset val="129"/>
      </rPr>
      <t xml:space="preserve">= 557</t>
    </r>
    <r>
      <rPr>
        <sz val="11"/>
        <color theme="1"/>
        <rFont val="WenQuanYi Zen Hei"/>
        <family val="2"/>
      </rPr>
      <t xml:space="preserve">조</t>
    </r>
    <r>
      <rPr>
        <sz val="11"/>
        <color theme="1"/>
        <rFont val="맑은 고딕"/>
        <family val="2"/>
        <charset val="129"/>
      </rPr>
      <t xml:space="preserve">(1,113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2"/>
        <charset val="129"/>
      </rPr>
      <t xml:space="preserve">)×207</t>
    </r>
    <r>
      <rPr>
        <sz val="11"/>
        <color theme="1"/>
        <rFont val="WenQuanYi Zen Hei"/>
        <family val="2"/>
      </rPr>
      <t xml:space="preserve">일</t>
    </r>
    <r>
      <rPr>
        <sz val="11"/>
        <color theme="1"/>
        <rFont val="맑은 고딕"/>
        <family val="2"/>
        <charset val="129"/>
      </rPr>
      <t xml:space="preserve">×81</t>
    </r>
    <r>
      <rPr>
        <sz val="11"/>
        <color theme="1"/>
        <rFont val="WenQuanYi Zen Hei"/>
        <family val="2"/>
      </rPr>
      <t xml:space="preserve">천원</t>
    </r>
  </si>
  <si>
    <r>
      <rPr>
        <sz val="11"/>
        <color theme="1"/>
        <rFont val="맑은 고딕"/>
        <family val="2"/>
        <charset val="129"/>
      </rPr>
      <t xml:space="preserve">= 576</t>
    </r>
    <r>
      <rPr>
        <sz val="11"/>
        <color theme="1"/>
        <rFont val="WenQuanYi Zen Hei"/>
        <family val="2"/>
      </rPr>
      <t xml:space="preserve">조</t>
    </r>
    <r>
      <rPr>
        <sz val="11"/>
        <color theme="1"/>
        <rFont val="맑은 고딕"/>
        <family val="2"/>
        <charset val="129"/>
      </rPr>
      <t xml:space="preserve">(1,094+33+25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2"/>
        <charset val="129"/>
      </rPr>
      <t xml:space="preserve">)×203</t>
    </r>
    <r>
      <rPr>
        <sz val="11"/>
        <color theme="1"/>
        <rFont val="WenQuanYi Zen Hei"/>
        <family val="2"/>
      </rPr>
      <t xml:space="preserve">일</t>
    </r>
    <r>
      <rPr>
        <sz val="11"/>
        <color theme="1"/>
        <rFont val="맑은 고딕"/>
        <family val="2"/>
        <charset val="129"/>
      </rPr>
      <t xml:space="preserve">×81</t>
    </r>
    <r>
      <rPr>
        <sz val="11"/>
        <color theme="1"/>
        <rFont val="WenQuanYi Zen Hei"/>
        <family val="2"/>
      </rPr>
      <t xml:space="preserve">천원</t>
    </r>
  </si>
  <si>
    <r>
      <rPr>
        <sz val="11"/>
        <color theme="1"/>
        <rFont val="맑은 고딕"/>
        <family val="2"/>
        <charset val="129"/>
      </rPr>
      <t xml:space="preserve">* 2027</t>
    </r>
    <r>
      <rPr>
        <sz val="11"/>
        <color theme="1"/>
        <rFont val="WenQuanYi Zen Hei"/>
        <family val="2"/>
      </rPr>
      <t xml:space="preserve">년 검사인력 </t>
    </r>
    <r>
      <rPr>
        <sz val="11"/>
        <color theme="1"/>
        <rFont val="맑은 고딕"/>
        <family val="2"/>
        <charset val="129"/>
      </rPr>
      <t xml:space="preserve">1,094</t>
    </r>
    <r>
      <rPr>
        <sz val="11"/>
        <color theme="1"/>
        <rFont val="WenQuanYi Zen Hei"/>
        <family val="2"/>
      </rPr>
      <t xml:space="preserve">명 </t>
    </r>
    <r>
      <rPr>
        <sz val="11"/>
        <color theme="1"/>
        <rFont val="맑은 고딕"/>
        <family val="2"/>
        <charset val="129"/>
      </rPr>
      <t xml:space="preserve">+ 26</t>
    </r>
    <r>
      <rPr>
        <sz val="11"/>
        <color theme="1"/>
        <rFont val="WenQuanYi Zen Hei"/>
        <family val="2"/>
      </rPr>
      <t xml:space="preserve">년 </t>
    </r>
    <r>
      <rPr>
        <sz val="11"/>
        <color theme="1"/>
        <rFont val="맑은 고딕"/>
        <family val="2"/>
        <charset val="129"/>
      </rPr>
      <t xml:space="preserve">12</t>
    </r>
    <r>
      <rPr>
        <sz val="11"/>
        <color theme="1"/>
        <rFont val="WenQuanYi Zen Hei"/>
        <family val="2"/>
      </rPr>
      <t xml:space="preserve">월말 신규채용 </t>
    </r>
    <r>
      <rPr>
        <sz val="11"/>
        <color theme="1"/>
        <rFont val="맑은 고딕"/>
        <family val="2"/>
        <charset val="129"/>
      </rPr>
      <t xml:space="preserve">33</t>
    </r>
    <r>
      <rPr>
        <sz val="11"/>
        <color theme="1"/>
        <rFont val="WenQuanYi Zen Hei"/>
        <family val="2"/>
      </rPr>
      <t xml:space="preserve">명 </t>
    </r>
    <r>
      <rPr>
        <sz val="11"/>
        <color theme="1"/>
        <rFont val="맑은 고딕"/>
        <family val="2"/>
        <charset val="129"/>
      </rPr>
      <t xml:space="preserve">+ 27</t>
    </r>
    <r>
      <rPr>
        <sz val="11"/>
        <color theme="1"/>
        <rFont val="WenQuanYi Zen Hei"/>
        <family val="2"/>
      </rPr>
      <t xml:space="preserve">년 하반기 신규채용 </t>
    </r>
    <r>
      <rPr>
        <sz val="11"/>
        <color theme="1"/>
        <rFont val="맑은 고딕"/>
        <family val="2"/>
        <charset val="129"/>
      </rPr>
      <t xml:space="preserve">50</t>
    </r>
    <r>
      <rPr>
        <sz val="11"/>
        <color theme="1"/>
        <rFont val="WenQuanYi Zen Hei"/>
        <family val="2"/>
      </rPr>
      <t xml:space="preserve">명 반영</t>
    </r>
  </si>
  <si>
    <t xml:space="preserve">최상</t>
  </si>
  <si>
    <t xml:space="preserve">배상책임보험</t>
  </si>
  <si>
    <r>
      <rPr>
        <sz val="11"/>
        <color theme="1"/>
        <rFont val="맑은 고딕"/>
        <family val="2"/>
        <charset val="129"/>
      </rPr>
      <t xml:space="preserve">11-</t>
    </r>
    <r>
      <rPr>
        <sz val="11"/>
        <color theme="1"/>
        <rFont val="WenQuanYi Zen Hei"/>
        <family val="2"/>
      </rPr>
      <t xml:space="preserve">가</t>
    </r>
    <r>
      <rPr>
        <sz val="11"/>
        <color theme="1"/>
        <rFont val="맑은 고딕"/>
        <family val="2"/>
        <charset val="129"/>
      </rPr>
      <t xml:space="preserve">-2) </t>
    </r>
    <r>
      <rPr>
        <sz val="11"/>
        <color theme="1"/>
        <rFont val="WenQuanYi Zen Hei"/>
        <family val="2"/>
      </rPr>
      <t xml:space="preserve">검사 중 기기손상</t>
    </r>
    <r>
      <rPr>
        <sz val="11"/>
        <color theme="1"/>
        <rFont val="맑은 고딕"/>
        <family val="2"/>
        <charset val="129"/>
      </rPr>
      <t xml:space="preserve">(ex.</t>
    </r>
    <r>
      <rPr>
        <sz val="11"/>
        <color theme="1"/>
        <rFont val="WenQuanYi Zen Hei"/>
        <family val="2"/>
      </rPr>
      <t xml:space="preserve">인버터 등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WenQuanYi Zen Hei"/>
        <family val="2"/>
      </rPr>
      <t xml:space="preserve">보험 신청 절차 간소화</t>
    </r>
  </si>
  <si>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WenQuanYi Zen Hei"/>
        <family val="2"/>
      </rPr>
      <t xml:space="preserve">배상책임보험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WenQuanYi Zen Hei"/>
        <family val="2"/>
      </rPr>
      <t xml:space="preserve">승강기 검사 업무 관련 배상책임보험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WenQuanYi Zen Hei"/>
        <family val="2"/>
      </rPr>
      <t xml:space="preserve">자기부담금 이하의 보험처리 비용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</si>
  <si>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맑은 고딕"/>
        <family val="2"/>
        <charset val="129"/>
      </rPr>
      <t xml:space="preserve">= 5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2"/>
        <charset val="129"/>
      </rPr>
      <t xml:space="preserve">×1,000</t>
    </r>
    <r>
      <rPr>
        <sz val="11"/>
        <color theme="1"/>
        <rFont val="WenQuanYi Zen Hei"/>
        <family val="2"/>
      </rPr>
      <t xml:space="preserve">천원</t>
    </r>
  </si>
  <si>
    <r>
      <rPr>
        <sz val="11"/>
        <color theme="1"/>
        <rFont val="맑은 고딕"/>
        <family val="2"/>
        <charset val="129"/>
      </rPr>
      <t xml:space="preserve"> = 10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2"/>
        <charset val="129"/>
      </rPr>
      <t xml:space="preserve">×1,000</t>
    </r>
    <r>
      <rPr>
        <sz val="11"/>
        <color theme="1"/>
        <rFont val="WenQuanYi Zen Hei"/>
        <family val="2"/>
      </rPr>
      <t xml:space="preserve">천원</t>
    </r>
  </si>
  <si>
    <t xml:space="preserve">자기부담금(1,000천원 이하)의 보험처리비용 </t>
  </si>
  <si>
    <t xml:space="preserve">지역본부장회의</t>
  </si>
  <si>
    <r>
      <rPr>
        <sz val="11"/>
        <color theme="1"/>
        <rFont val="맑은 고딕"/>
        <family val="2"/>
        <charset val="129"/>
      </rPr>
      <t xml:space="preserve">12. </t>
    </r>
    <r>
      <rPr>
        <sz val="11"/>
        <color theme="1"/>
        <rFont val="WenQuanYi Zen Hei"/>
        <family val="2"/>
      </rPr>
      <t xml:space="preserve">검사 집중 환경 구축 및 개선</t>
    </r>
  </si>
  <si>
    <t xml:space="preserve">일반여비</t>
  </si>
  <si>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WenQuanYi Zen Hei"/>
        <family val="2"/>
      </rPr>
      <t xml:space="preserve">검사업무 체계개선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WenQuanYi Zen Hei"/>
        <family val="2"/>
      </rPr>
      <t xml:space="preserve">지역본부장 회의</t>
    </r>
  </si>
  <si>
    <r>
      <rPr>
        <sz val="11"/>
        <color theme="1"/>
        <rFont val="맑은 고딕"/>
        <family val="2"/>
        <charset val="129"/>
      </rPr>
      <t xml:space="preserve">= 5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2"/>
        <charset val="129"/>
      </rPr>
      <t xml:space="preserve">×4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2"/>
        <charset val="129"/>
      </rPr>
      <t xml:space="preserve">×265</t>
    </r>
    <r>
      <rPr>
        <sz val="11"/>
        <color theme="1"/>
        <rFont val="WenQuanYi Zen Hei"/>
        <family val="2"/>
      </rPr>
      <t xml:space="preserve">천원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WenQuanYi Zen Hei"/>
        <family val="2"/>
      </rPr>
      <t xml:space="preserve">운임 </t>
    </r>
    <r>
      <rPr>
        <sz val="11"/>
        <color theme="1"/>
        <rFont val="맑은 고딕"/>
        <family val="2"/>
        <charset val="129"/>
      </rPr>
      <t xml:space="preserve">110, </t>
    </r>
    <r>
      <rPr>
        <sz val="11"/>
        <color theme="1"/>
        <rFont val="WenQuanYi Zen Hei"/>
        <family val="2"/>
      </rPr>
      <t xml:space="preserve">일비 </t>
    </r>
    <r>
      <rPr>
        <sz val="11"/>
        <color theme="1"/>
        <rFont val="맑은 고딕"/>
        <family val="2"/>
        <charset val="129"/>
      </rPr>
      <t xml:space="preserve">30, </t>
    </r>
    <r>
      <rPr>
        <sz val="11"/>
        <color theme="1"/>
        <rFont val="WenQuanYi Zen Hei"/>
        <family val="2"/>
      </rPr>
      <t xml:space="preserve">식비 </t>
    </r>
    <r>
      <rPr>
        <sz val="11"/>
        <color theme="1"/>
        <rFont val="맑은 고딕"/>
        <family val="2"/>
        <charset val="129"/>
      </rPr>
      <t xml:space="preserve">25, </t>
    </r>
    <r>
      <rPr>
        <sz val="11"/>
        <color theme="1"/>
        <rFont val="WenQuanYi Zen Hei"/>
        <family val="2"/>
      </rPr>
      <t xml:space="preserve">숙박 </t>
    </r>
    <r>
      <rPr>
        <sz val="11"/>
        <color theme="1"/>
        <rFont val="맑은 고딕"/>
        <family val="2"/>
        <charset val="129"/>
      </rPr>
      <t xml:space="preserve">100)</t>
    </r>
  </si>
  <si>
    <r>
      <rPr>
        <sz val="11"/>
        <color theme="1"/>
        <rFont val="맑은 고딕"/>
        <family val="2"/>
        <charset val="129"/>
      </rPr>
      <t xml:space="preserve">= 5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2"/>
        <charset val="129"/>
      </rPr>
      <t xml:space="preserve">×4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2"/>
        <charset val="129"/>
      </rPr>
      <t xml:space="preserve">×285</t>
    </r>
    <r>
      <rPr>
        <sz val="11"/>
        <color theme="1"/>
        <rFont val="WenQuanYi Zen Hei"/>
        <family val="2"/>
      </rPr>
      <t xml:space="preserve">천원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WenQuanYi Zen Hei"/>
        <family val="2"/>
      </rPr>
      <t xml:space="preserve">운임 </t>
    </r>
    <r>
      <rPr>
        <sz val="11"/>
        <color theme="1"/>
        <rFont val="맑은 고딕"/>
        <family val="2"/>
        <charset val="129"/>
      </rPr>
      <t xml:space="preserve">110, </t>
    </r>
    <r>
      <rPr>
        <sz val="11"/>
        <color theme="1"/>
        <rFont val="WenQuanYi Zen Hei"/>
        <family val="2"/>
      </rPr>
      <t xml:space="preserve">일비 </t>
    </r>
    <r>
      <rPr>
        <sz val="11"/>
        <color theme="1"/>
        <rFont val="맑은 고딕"/>
        <family val="2"/>
        <charset val="129"/>
      </rPr>
      <t xml:space="preserve">50, </t>
    </r>
    <r>
      <rPr>
        <sz val="11"/>
        <color theme="1"/>
        <rFont val="WenQuanYi Zen Hei"/>
        <family val="2"/>
      </rPr>
      <t xml:space="preserve">식비 </t>
    </r>
    <r>
      <rPr>
        <sz val="11"/>
        <color theme="1"/>
        <rFont val="맑은 고딕"/>
        <family val="2"/>
        <charset val="129"/>
      </rPr>
      <t xml:space="preserve">25, </t>
    </r>
    <r>
      <rPr>
        <sz val="11"/>
        <color theme="1"/>
        <rFont val="WenQuanYi Zen Hei"/>
        <family val="2"/>
      </rPr>
      <t xml:space="preserve">숙박 </t>
    </r>
    <r>
      <rPr>
        <sz val="11"/>
        <color theme="1"/>
        <rFont val="맑은 고딕"/>
        <family val="2"/>
        <charset val="129"/>
      </rPr>
      <t xml:space="preserve">100)</t>
    </r>
  </si>
  <si>
    <t xml:space="preserve">AI</t>
  </si>
  <si>
    <r>
      <rPr>
        <sz val="11"/>
        <color theme="1"/>
        <rFont val="맑은 고딕"/>
        <family val="2"/>
        <charset val="129"/>
      </rPr>
      <t xml:space="preserve">1-3-1. </t>
    </r>
    <r>
      <rPr>
        <sz val="11"/>
        <color theme="1"/>
        <rFont val="WenQuanYi Zen Hei"/>
        <family val="2"/>
      </rPr>
      <t xml:space="preserve">국민 중심의 승강기 정보제공 개선 및 공유 확대</t>
    </r>
  </si>
  <si>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WenQuanYi Zen Hei"/>
        <family val="2"/>
      </rPr>
      <t xml:space="preserve">승강기 통계자료</t>
    </r>
    <r>
      <rPr>
        <sz val="11"/>
        <color theme="1"/>
        <rFont val="맑은 고딕"/>
        <family val="2"/>
        <charset val="129"/>
      </rPr>
      <t xml:space="preserve">) AI </t>
    </r>
    <r>
      <rPr>
        <sz val="11"/>
        <color theme="1"/>
        <rFont val="WenQuanYi Zen Hei"/>
        <family val="2"/>
      </rPr>
      <t xml:space="preserve">활용</t>
    </r>
  </si>
  <si>
    <r>
      <rPr>
        <sz val="11"/>
        <color theme="1"/>
        <rFont val="맑은 고딕"/>
        <family val="2"/>
        <charset val="129"/>
      </rPr>
      <t xml:space="preserve"> = 2</t>
    </r>
    <r>
      <rPr>
        <sz val="11"/>
        <color theme="1"/>
        <rFont val="WenQuanYi Zen Hei"/>
        <family val="2"/>
      </rPr>
      <t xml:space="preserve">개</t>
    </r>
    <r>
      <rPr>
        <sz val="11"/>
        <color theme="1"/>
        <rFont val="맑은 고딕"/>
        <family val="2"/>
        <charset val="129"/>
      </rPr>
      <t xml:space="preserve">×12</t>
    </r>
    <r>
      <rPr>
        <sz val="11"/>
        <color theme="1"/>
        <rFont val="WenQuanYi Zen Hei"/>
        <family val="2"/>
      </rPr>
      <t xml:space="preserve">개월</t>
    </r>
    <r>
      <rPr>
        <sz val="11"/>
        <color theme="1"/>
        <rFont val="맑은 고딕"/>
        <family val="2"/>
        <charset val="129"/>
      </rPr>
      <t xml:space="preserve">×50(</t>
    </r>
    <r>
      <rPr>
        <sz val="11"/>
        <color theme="1"/>
        <rFont val="WenQuanYi Zen Hei"/>
        <family val="2"/>
      </rPr>
      <t xml:space="preserve">천원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</si>
  <si>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맑은 고딕"/>
        <family val="2"/>
        <charset val="129"/>
      </rPr>
      <t xml:space="preserve">  AI</t>
    </r>
    <r>
      <rPr>
        <sz val="11"/>
        <color theme="1"/>
        <rFont val="WenQuanYi Zen Hei"/>
        <family val="2"/>
      </rPr>
      <t xml:space="preserve">전략실 예산 활용</t>
    </r>
  </si>
  <si>
    <t xml:space="preserve">신설</t>
  </si>
  <si>
    <t xml:space="preserve">검사용품</t>
  </si>
  <si>
    <t xml:space="preserve">검사용품비</t>
  </si>
  <si>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WenQuanYi Zen Hei"/>
        <family val="2"/>
      </rPr>
      <t xml:space="preserve">소모품 구매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WenQuanYi Zen Hei"/>
        <family val="2"/>
      </rPr>
      <t xml:space="preserve">승강기 검사용품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WenQuanYi Zen Hei"/>
        <family val="2"/>
      </rPr>
      <t xml:space="preserve">소모성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WenQuanYi Zen Hei"/>
        <family val="2"/>
      </rPr>
      <t xml:space="preserve">구매</t>
    </r>
  </si>
  <si>
    <r>
      <rPr>
        <sz val="11"/>
        <color theme="1"/>
        <rFont val="맑은 고딕"/>
        <family val="2"/>
        <charset val="129"/>
      </rPr>
      <t xml:space="preserve">= 650</t>
    </r>
    <r>
      <rPr>
        <sz val="11"/>
        <color theme="1"/>
        <rFont val="WenQuanYi Zen Hei"/>
        <family val="2"/>
      </rPr>
      <t xml:space="preserve">개</t>
    </r>
    <r>
      <rPr>
        <sz val="11"/>
        <color theme="1"/>
        <rFont val="맑은 고딕"/>
        <family val="2"/>
        <charset val="129"/>
      </rPr>
      <t xml:space="preserve">×4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2"/>
        <charset val="129"/>
      </rPr>
      <t xml:space="preserve">×30</t>
    </r>
    <r>
      <rPr>
        <sz val="11"/>
        <color theme="1"/>
        <rFont val="WenQuanYi Zen Hei"/>
        <family val="2"/>
      </rPr>
      <t xml:space="preserve">천원</t>
    </r>
  </si>
  <si>
    <t xml:space="preserve">회의비</t>
  </si>
  <si>
    <t xml:space="preserve">                                                  </t>
  </si>
  <si>
    <r>
      <rPr>
        <sz val="11"/>
        <color theme="1"/>
        <rFont val="맑은 고딕"/>
        <family val="2"/>
        <charset val="129"/>
      </rPr>
      <t xml:space="preserve">= 14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2"/>
        <charset val="129"/>
      </rPr>
      <t xml:space="preserve">×8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2"/>
        <charset val="129"/>
      </rPr>
      <t xml:space="preserve">×10</t>
    </r>
    <r>
      <rPr>
        <sz val="11"/>
        <color theme="1"/>
        <rFont val="WenQuanYi Zen Hei"/>
        <family val="2"/>
      </rPr>
      <t xml:space="preserve">천원</t>
    </r>
  </si>
  <si>
    <t xml:space="preserve">역량평가</t>
  </si>
  <si>
    <r>
      <rPr>
        <sz val="11"/>
        <color theme="1"/>
        <rFont val="맑은 고딕"/>
        <family val="2"/>
        <charset val="129"/>
      </rPr>
      <t xml:space="preserve">10-</t>
    </r>
    <r>
      <rPr>
        <sz val="11"/>
        <color theme="1"/>
        <rFont val="WenQuanYi Zen Hei"/>
        <family val="2"/>
      </rPr>
      <t xml:space="preserve">나</t>
    </r>
    <r>
      <rPr>
        <sz val="11"/>
        <color theme="1"/>
        <rFont val="맑은 고딕"/>
        <family val="2"/>
        <charset val="129"/>
      </rPr>
      <t xml:space="preserve">-1) </t>
    </r>
    <r>
      <rPr>
        <sz val="11"/>
        <color theme="1"/>
        <rFont val="WenQuanYi Zen Hei"/>
        <family val="2"/>
      </rPr>
      <t xml:space="preserve">특별승진과 연계한 경진대회 실시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WenQuanYi Zen Hei"/>
        <family val="2"/>
      </rPr>
      <t xml:space="preserve">기존 경진대회 통폐합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</si>
  <si>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맑은 고딕"/>
        <family val="2"/>
        <charset val="129"/>
      </rPr>
      <t xml:space="preserve">3-2-2. </t>
    </r>
    <r>
      <rPr>
        <sz val="11"/>
        <color theme="1"/>
        <rFont val="WenQuanYi Zen Hei"/>
        <family val="2"/>
      </rPr>
      <t xml:space="preserve">검사자 전문역량 및 디지털 시스템 고도화를 통한 품질 신뢰성 제고</t>
    </r>
  </si>
  <si>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WenQuanYi Zen Hei"/>
        <family val="2"/>
      </rPr>
      <t xml:space="preserve">경진대회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WenQuanYi Zen Hei"/>
        <family val="2"/>
      </rPr>
      <t xml:space="preserve">검사자 역량 경진대회 우수 성적자 포상</t>
    </r>
  </si>
  <si>
    <r>
      <rPr>
        <sz val="11"/>
        <color theme="1"/>
        <rFont val="맑은 고딕"/>
        <family val="2"/>
        <charset val="129"/>
      </rPr>
      <t xml:space="preserve">= </t>
    </r>
    <r>
      <rPr>
        <sz val="11"/>
        <color theme="1"/>
        <rFont val="WenQuanYi Zen Hei"/>
        <family val="2"/>
      </rPr>
      <t xml:space="preserve">최우수</t>
    </r>
    <r>
      <rPr>
        <sz val="11"/>
        <color theme="1"/>
        <rFont val="맑은 고딕"/>
        <family val="2"/>
        <charset val="129"/>
      </rPr>
      <t xml:space="preserve">(1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2"/>
        <charset val="129"/>
      </rPr>
      <t xml:space="preserve">x1000</t>
    </r>
    <r>
      <rPr>
        <sz val="11"/>
        <color theme="1"/>
        <rFont val="WenQuanYi Zen Hei"/>
        <family val="2"/>
      </rPr>
      <t xml:space="preserve">천원</t>
    </r>
    <r>
      <rPr>
        <sz val="11"/>
        <color theme="1"/>
        <rFont val="맑은 고딕"/>
        <family val="2"/>
        <charset val="129"/>
      </rPr>
      <t xml:space="preserve">)+</t>
    </r>
    <r>
      <rPr>
        <sz val="11"/>
        <color theme="1"/>
        <rFont val="WenQuanYi Zen Hei"/>
        <family val="2"/>
      </rPr>
      <t xml:space="preserve">우수</t>
    </r>
    <r>
      <rPr>
        <sz val="11"/>
        <color theme="1"/>
        <rFont val="맑은 고딕"/>
        <family val="2"/>
        <charset val="129"/>
      </rPr>
      <t xml:space="preserve">(3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2"/>
        <charset val="129"/>
      </rPr>
      <t xml:space="preserve">x500</t>
    </r>
    <r>
      <rPr>
        <sz val="11"/>
        <color theme="1"/>
        <rFont val="WenQuanYi Zen Hei"/>
        <family val="2"/>
      </rPr>
      <t xml:space="preserve">천원</t>
    </r>
    <r>
      <rPr>
        <sz val="11"/>
        <color theme="1"/>
        <rFont val="맑은 고딕"/>
        <family val="2"/>
        <charset val="129"/>
      </rPr>
      <t xml:space="preserve">)+</t>
    </r>
    <r>
      <rPr>
        <sz val="11"/>
        <color theme="1"/>
        <rFont val="WenQuanYi Zen Hei"/>
        <family val="2"/>
      </rPr>
      <t xml:space="preserve">장려</t>
    </r>
    <r>
      <rPr>
        <sz val="11"/>
        <color theme="1"/>
        <rFont val="맑은 고딕"/>
        <family val="2"/>
        <charset val="129"/>
      </rPr>
      <t xml:space="preserve">(5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2"/>
        <charset val="129"/>
      </rPr>
      <t xml:space="preserve">x20</t>
    </r>
    <r>
      <rPr>
        <sz val="11"/>
        <color theme="1"/>
        <rFont val="WenQuanYi Zen Hei"/>
        <family val="2"/>
      </rPr>
      <t xml:space="preserve">천원</t>
    </r>
    <r>
      <rPr>
        <sz val="11"/>
        <color theme="1"/>
        <rFont val="맑은 고딕"/>
        <family val="2"/>
        <charset val="129"/>
      </rPr>
      <t xml:space="preserve">)</t>
    </r>
  </si>
  <si>
    <t xml:space="preserve">검사자 역량평가 우수자 포상</t>
  </si>
  <si>
    <r>
      <rPr>
        <sz val="11"/>
        <color theme="1"/>
        <rFont val="맑은 고딕"/>
        <family val="2"/>
        <charset val="129"/>
      </rPr>
      <t xml:space="preserve">11</t>
    </r>
    <r>
      <rPr>
        <sz val="11"/>
        <color theme="1"/>
        <rFont val="WenQuanYi Zen Hei"/>
        <family val="2"/>
      </rPr>
      <t xml:space="preserve">월</t>
    </r>
  </si>
  <si>
    <t xml:space="preserve">검사운영회의</t>
  </si>
  <si>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WenQuanYi Zen Hei"/>
        <family val="2"/>
      </rPr>
      <t xml:space="preserve">검사업무 체계개선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WenQuanYi Zen Hei"/>
        <family val="2"/>
      </rPr>
      <t xml:space="preserve">지역별 검사 운영 회의</t>
    </r>
  </si>
  <si>
    <r>
      <rPr>
        <sz val="11"/>
        <color theme="1"/>
        <rFont val="맑은 고딕"/>
        <family val="2"/>
        <charset val="129"/>
      </rPr>
      <t xml:space="preserve">= 11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2"/>
        <charset val="129"/>
      </rPr>
      <t xml:space="preserve">×8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2"/>
        <charset val="129"/>
      </rPr>
      <t xml:space="preserve">×30</t>
    </r>
    <r>
      <rPr>
        <sz val="11"/>
        <color theme="1"/>
        <rFont val="WenQuanYi Zen Hei"/>
        <family val="2"/>
      </rPr>
      <t xml:space="preserve">천원</t>
    </r>
  </si>
  <si>
    <r>
      <rPr>
        <sz val="11"/>
        <color theme="1"/>
        <rFont val="맑은 고딕"/>
        <family val="2"/>
        <charset val="129"/>
      </rPr>
      <t xml:space="preserve">= 50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2"/>
        <charset val="129"/>
      </rPr>
      <t xml:space="preserve">×2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2"/>
        <charset val="129"/>
      </rPr>
      <t xml:space="preserve">×10</t>
    </r>
    <r>
      <rPr>
        <sz val="11"/>
        <color theme="1"/>
        <rFont val="WenQuanYi Zen Hei"/>
        <family val="2"/>
      </rPr>
      <t xml:space="preserve">천원</t>
    </r>
  </si>
  <si>
    <t xml:space="preserve">검사표준화</t>
  </si>
  <si>
    <r>
      <rPr>
        <sz val="11"/>
        <color theme="1"/>
        <rFont val="맑은 고딕"/>
        <family val="2"/>
        <charset val="129"/>
      </rPr>
      <t xml:space="preserve">3-1-1. </t>
    </r>
    <r>
      <rPr>
        <sz val="11"/>
        <color theme="1"/>
        <rFont val="WenQuanYi Zen Hei"/>
        <family val="2"/>
      </rPr>
      <t xml:space="preserve">현장 실무 중심의 검사방법 표준화 및 기준 체계화</t>
    </r>
  </si>
  <si>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WenQuanYi Zen Hei"/>
        <family val="2"/>
      </rPr>
      <t xml:space="preserve">검사방법표준화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WenQuanYi Zen Hei"/>
        <family val="2"/>
      </rPr>
      <t xml:space="preserve">검사방법표준화협의체 운영 여비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WenQuanYi Zen Hei"/>
        <family val="2"/>
      </rPr>
      <t xml:space="preserve">안전제도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WenQuanYi Zen Hei"/>
        <family val="2"/>
      </rPr>
      <t xml:space="preserve">안전인증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WenQuanYi Zen Hei"/>
        <family val="2"/>
      </rPr>
      <t xml:space="preserve">연구개발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WenQuanYi Zen Hei"/>
        <family val="2"/>
      </rPr>
      <t xml:space="preserve">기술사업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</si>
  <si>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맑은 고딕"/>
        <family val="2"/>
        <charset val="129"/>
      </rPr>
      <t xml:space="preserve">=(</t>
    </r>
    <r>
      <rPr>
        <sz val="11"/>
        <color theme="1"/>
        <rFont val="WenQuanYi Zen Hei"/>
        <family val="2"/>
      </rPr>
      <t xml:space="preserve">서울기준</t>
    </r>
    <r>
      <rPr>
        <sz val="11"/>
        <color theme="1"/>
        <rFont val="맑은 고딕"/>
        <family val="2"/>
        <charset val="129"/>
      </rPr>
      <t xml:space="preserve">) 5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2"/>
        <charset val="129"/>
      </rPr>
      <t xml:space="preserve">×4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2"/>
        <charset val="129"/>
      </rPr>
      <t xml:space="preserve">×430</t>
    </r>
    <r>
      <rPr>
        <sz val="11"/>
        <color theme="1"/>
        <rFont val="WenQuanYi Zen Hei"/>
        <family val="2"/>
      </rPr>
      <t xml:space="preserve">천원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WenQuanYi Zen Hei"/>
        <family val="2"/>
      </rPr>
      <t xml:space="preserve">운임 </t>
    </r>
    <r>
      <rPr>
        <sz val="11"/>
        <color theme="1"/>
        <rFont val="맑은 고딕"/>
        <family val="2"/>
        <charset val="129"/>
      </rPr>
      <t xml:space="preserve">110, (</t>
    </r>
    <r>
      <rPr>
        <sz val="11"/>
        <color theme="1"/>
        <rFont val="WenQuanYi Zen Hei"/>
        <family val="2"/>
      </rPr>
      <t xml:space="preserve">일비 </t>
    </r>
    <r>
      <rPr>
        <sz val="11"/>
        <color theme="1"/>
        <rFont val="맑은 고딕"/>
        <family val="2"/>
        <charset val="129"/>
      </rPr>
      <t xml:space="preserve">60, </t>
    </r>
    <r>
      <rPr>
        <sz val="11"/>
        <color theme="1"/>
        <rFont val="WenQuanYi Zen Hei"/>
        <family val="2"/>
      </rPr>
      <t xml:space="preserve">식비 </t>
    </r>
    <r>
      <rPr>
        <sz val="11"/>
        <color theme="1"/>
        <rFont val="맑은 고딕"/>
        <family val="2"/>
        <charset val="129"/>
      </rPr>
      <t xml:space="preserve">50)×2</t>
    </r>
    <r>
      <rPr>
        <sz val="11"/>
        <color theme="1"/>
        <rFont val="WenQuanYi Zen Hei"/>
        <family val="2"/>
      </rPr>
      <t xml:space="preserve">일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WenQuanYi Zen Hei"/>
        <family val="2"/>
      </rPr>
      <t xml:space="preserve">숙박 </t>
    </r>
    <r>
      <rPr>
        <sz val="11"/>
        <color theme="1"/>
        <rFont val="맑은 고딕"/>
        <family val="2"/>
        <charset val="129"/>
      </rPr>
      <t xml:space="preserve">100)</t>
    </r>
  </si>
  <si>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WenQuanYi Zen Hei"/>
        <family val="2"/>
      </rPr>
      <t xml:space="preserve">검사방법표준화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WenQuanYi Zen Hei"/>
        <family val="2"/>
      </rPr>
      <t xml:space="preserve">검사방법표준화협의체 운영 여비</t>
    </r>
  </si>
  <si>
    <r>
      <rPr>
        <sz val="11"/>
        <color theme="1"/>
        <rFont val="맑은 고딕"/>
        <family val="2"/>
        <charset val="129"/>
      </rPr>
      <t xml:space="preserve">=(</t>
    </r>
    <r>
      <rPr>
        <sz val="11"/>
        <color theme="1"/>
        <rFont val="WenQuanYi Zen Hei"/>
        <family val="2"/>
      </rPr>
      <t xml:space="preserve">서울기준</t>
    </r>
    <r>
      <rPr>
        <sz val="11"/>
        <color theme="1"/>
        <rFont val="맑은 고딕"/>
        <family val="2"/>
        <charset val="129"/>
      </rPr>
      <t xml:space="preserve">) 3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2"/>
        <charset val="129"/>
      </rPr>
      <t xml:space="preserve">×4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2"/>
        <charset val="129"/>
      </rPr>
      <t xml:space="preserve">×320</t>
    </r>
    <r>
      <rPr>
        <sz val="11"/>
        <color theme="1"/>
        <rFont val="WenQuanYi Zen Hei"/>
        <family val="2"/>
      </rPr>
      <t xml:space="preserve">천원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WenQuanYi Zen Hei"/>
        <family val="2"/>
      </rPr>
      <t xml:space="preserve">운임 </t>
    </r>
    <r>
      <rPr>
        <sz val="11"/>
        <color theme="1"/>
        <rFont val="맑은 고딕"/>
        <family val="2"/>
        <charset val="129"/>
      </rPr>
      <t xml:space="preserve">110, </t>
    </r>
    <r>
      <rPr>
        <sz val="11"/>
        <color theme="1"/>
        <rFont val="WenQuanYi Zen Hei"/>
        <family val="2"/>
      </rPr>
      <t xml:space="preserve">일비 </t>
    </r>
    <r>
      <rPr>
        <sz val="11"/>
        <color theme="1"/>
        <rFont val="맑은 고딕"/>
        <family val="2"/>
        <charset val="129"/>
      </rPr>
      <t xml:space="preserve">60, </t>
    </r>
    <r>
      <rPr>
        <sz val="11"/>
        <color theme="1"/>
        <rFont val="WenQuanYi Zen Hei"/>
        <family val="2"/>
      </rPr>
      <t xml:space="preserve">식비 </t>
    </r>
    <r>
      <rPr>
        <sz val="11"/>
        <color theme="1"/>
        <rFont val="맑은 고딕"/>
        <family val="2"/>
        <charset val="129"/>
      </rPr>
      <t xml:space="preserve">50, </t>
    </r>
    <r>
      <rPr>
        <sz val="11"/>
        <color theme="1"/>
        <rFont val="WenQuanYi Zen Hei"/>
        <family val="2"/>
      </rPr>
      <t xml:space="preserve">숙박 </t>
    </r>
    <r>
      <rPr>
        <sz val="11"/>
        <color theme="1"/>
        <rFont val="맑은 고딕"/>
        <family val="2"/>
        <charset val="129"/>
      </rPr>
      <t xml:space="preserve">100)</t>
    </r>
  </si>
  <si>
    <t xml:space="preserve">검사출장 식비</t>
  </si>
  <si>
    <r>
      <rPr>
        <sz val="11"/>
        <color theme="1"/>
        <rFont val="맑은 고딕"/>
        <family val="2"/>
        <charset val="129"/>
      </rPr>
      <t xml:space="preserve">=8400*576</t>
    </r>
    <r>
      <rPr>
        <sz val="11"/>
        <color theme="1"/>
        <rFont val="WenQuanYi Zen Hei"/>
        <family val="2"/>
      </rPr>
      <t xml:space="preserve">조</t>
    </r>
    <r>
      <rPr>
        <sz val="11"/>
        <color theme="1"/>
        <rFont val="맑은 고딕"/>
        <family val="2"/>
        <charset val="129"/>
      </rPr>
      <t xml:space="preserve">*2</t>
    </r>
    <r>
      <rPr>
        <sz val="11"/>
        <color theme="1"/>
        <rFont val="WenQuanYi Zen Hei"/>
        <family val="2"/>
      </rPr>
      <t xml:space="preserve">인</t>
    </r>
    <r>
      <rPr>
        <sz val="11"/>
        <color theme="1"/>
        <rFont val="맑은 고딕"/>
        <family val="2"/>
        <charset val="129"/>
      </rPr>
      <t xml:space="preserve">*203</t>
    </r>
    <r>
      <rPr>
        <sz val="11"/>
        <color theme="1"/>
        <rFont val="WenQuanYi Zen Hei"/>
        <family val="2"/>
      </rPr>
      <t xml:space="preserve">일</t>
    </r>
  </si>
  <si>
    <t xml:space="preserve">차량보존비</t>
  </si>
  <si>
    <r>
      <rPr>
        <sz val="11"/>
        <color theme="1"/>
        <rFont val="맑은 고딕"/>
        <family val="2"/>
        <charset val="129"/>
      </rPr>
      <t xml:space="preserve">3-</t>
    </r>
    <r>
      <rPr>
        <sz val="11"/>
        <color theme="1"/>
        <rFont val="WenQuanYi Zen Hei"/>
        <family val="2"/>
      </rPr>
      <t xml:space="preserve">가</t>
    </r>
    <r>
      <rPr>
        <sz val="11"/>
        <color theme="1"/>
        <rFont val="맑은 고딕"/>
        <family val="2"/>
        <charset val="129"/>
      </rPr>
      <t xml:space="preserve">-2) </t>
    </r>
    <r>
      <rPr>
        <sz val="11"/>
        <color theme="1"/>
        <rFont val="WenQuanYi Zen Hei"/>
        <family val="2"/>
      </rPr>
      <t xml:space="preserve">차량보존비 </t>
    </r>
    <r>
      <rPr>
        <sz val="11"/>
        <color theme="1"/>
        <rFont val="맑은 고딕"/>
        <family val="2"/>
        <charset val="129"/>
      </rPr>
      <t xml:space="preserve">2</t>
    </r>
    <r>
      <rPr>
        <sz val="11"/>
        <color theme="1"/>
        <rFont val="WenQuanYi Zen Hei"/>
        <family val="2"/>
      </rPr>
      <t xml:space="preserve">만원 → </t>
    </r>
    <r>
      <rPr>
        <sz val="11"/>
        <color theme="1"/>
        <rFont val="맑은 고딕"/>
        <family val="2"/>
        <charset val="129"/>
      </rPr>
      <t xml:space="preserve">3</t>
    </r>
    <r>
      <rPr>
        <sz val="11"/>
        <color theme="1"/>
        <rFont val="WenQuanYi Zen Hei"/>
        <family val="2"/>
      </rPr>
      <t xml:space="preserve">만원 인상</t>
    </r>
  </si>
  <si>
    <t xml:space="preserve">차량감가상각비</t>
  </si>
  <si>
    <r>
      <rPr>
        <sz val="11"/>
        <color theme="1"/>
        <rFont val="맑은 고딕"/>
        <family val="2"/>
        <charset val="129"/>
      </rPr>
      <t xml:space="preserve">=10000*576</t>
    </r>
    <r>
      <rPr>
        <sz val="11"/>
        <color theme="1"/>
        <rFont val="WenQuanYi Zen Hei"/>
        <family val="2"/>
      </rPr>
      <t xml:space="preserve">조</t>
    </r>
    <r>
      <rPr>
        <sz val="11"/>
        <color theme="1"/>
        <rFont val="맑은 고딕"/>
        <family val="2"/>
        <charset val="129"/>
      </rPr>
      <t xml:space="preserve">*203</t>
    </r>
    <r>
      <rPr>
        <sz val="11"/>
        <color theme="1"/>
        <rFont val="WenQuanYi Zen Hei"/>
        <family val="2"/>
      </rPr>
      <t xml:space="preserve">일</t>
    </r>
  </si>
  <si>
    <r>
      <rPr>
        <sz val="11"/>
        <color theme="1"/>
        <rFont val="맑은 고딕"/>
        <family val="2"/>
        <charset val="129"/>
      </rPr>
      <t xml:space="preserve">CS</t>
    </r>
    <r>
      <rPr>
        <sz val="11"/>
        <color theme="1"/>
        <rFont val="WenQuanYi Zen Hei"/>
        <family val="2"/>
      </rPr>
      <t xml:space="preserve">리더</t>
    </r>
  </si>
  <si>
    <r>
      <rPr>
        <sz val="11"/>
        <color theme="1"/>
        <rFont val="맑은 고딕"/>
        <family val="2"/>
        <charset val="129"/>
      </rPr>
      <t xml:space="preserve">13-</t>
    </r>
    <r>
      <rPr>
        <sz val="11"/>
        <color theme="1"/>
        <rFont val="WenQuanYi Zen Hei"/>
        <family val="2"/>
      </rPr>
      <t xml:space="preserve">가</t>
    </r>
    <r>
      <rPr>
        <sz val="11"/>
        <color theme="1"/>
        <rFont val="맑은 고딕"/>
        <family val="2"/>
        <charset val="129"/>
      </rPr>
      <t xml:space="preserve">-5) </t>
    </r>
    <r>
      <rPr>
        <sz val="11"/>
        <color theme="1"/>
        <rFont val="WenQuanYi Zen Hei"/>
        <family val="2"/>
      </rPr>
      <t xml:space="preserve">교육비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WenQuanYi Zen Hei"/>
        <family val="2"/>
      </rPr>
      <t xml:space="preserve">부서운영비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WenQuanYi Zen Hei"/>
        <family val="2"/>
      </rPr>
      <t xml:space="preserve">회의비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WenQuanYi Zen Hei"/>
        <family val="2"/>
      </rPr>
      <t xml:space="preserve">지사</t>
    </r>
    <r>
      <rPr>
        <sz val="11"/>
        <color theme="1"/>
        <rFont val="맑은 고딕"/>
        <family val="2"/>
        <charset val="129"/>
      </rPr>
      <t xml:space="preserve">), </t>
    </r>
    <r>
      <rPr>
        <sz val="11"/>
        <color theme="1"/>
        <rFont val="WenQuanYi Zen Hei"/>
        <family val="2"/>
      </rPr>
      <t xml:space="preserve">동호회비 등 예산 증액</t>
    </r>
  </si>
  <si>
    <r>
      <rPr>
        <sz val="11"/>
        <color theme="1"/>
        <rFont val="맑은 고딕"/>
        <family val="2"/>
        <charset val="129"/>
      </rPr>
      <t xml:space="preserve">4-2-2. </t>
    </r>
    <r>
      <rPr>
        <sz val="11"/>
        <color theme="1"/>
        <rFont val="WenQuanYi Zen Hei"/>
        <family val="2"/>
      </rPr>
      <t xml:space="preserve">고객지원실</t>
    </r>
  </si>
  <si>
    <r>
      <rPr>
        <sz val="11"/>
        <color theme="1"/>
        <rFont val="맑은 고딕"/>
        <family val="2"/>
        <charset val="129"/>
      </rPr>
      <t xml:space="preserve">9-1-3. </t>
    </r>
    <r>
      <rPr>
        <sz val="11"/>
        <color theme="1"/>
        <rFont val="WenQuanYi Zen Hei"/>
        <family val="2"/>
      </rPr>
      <t xml:space="preserve">국민에게 신뢰받는 고객만족경영 실현</t>
    </r>
  </si>
  <si>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WenQuanYi Zen Hei"/>
        <family val="2"/>
      </rPr>
      <t xml:space="preserve">고객만족경영</t>
    </r>
    <r>
      <rPr>
        <sz val="11"/>
        <color theme="1"/>
        <rFont val="맑은 고딕"/>
        <family val="2"/>
        <charset val="129"/>
      </rPr>
      <t xml:space="preserve">) CS </t>
    </r>
    <r>
      <rPr>
        <sz val="11"/>
        <color theme="1"/>
        <rFont val="WenQuanYi Zen Hei"/>
        <family val="2"/>
      </rPr>
      <t xml:space="preserve">리더 워크숍 회의 운영</t>
    </r>
  </si>
  <si>
    <r>
      <rPr>
        <sz val="11"/>
        <color theme="1"/>
        <rFont val="맑은 고딕"/>
        <family val="2"/>
        <charset val="129"/>
      </rPr>
      <t xml:space="preserve">= (</t>
    </r>
    <r>
      <rPr>
        <sz val="11"/>
        <color theme="1"/>
        <rFont val="WenQuanYi Zen Hei"/>
        <family val="2"/>
      </rPr>
      <t xml:space="preserve">내부</t>
    </r>
    <r>
      <rPr>
        <sz val="11"/>
        <color theme="1"/>
        <rFont val="맑은 고딕"/>
        <family val="2"/>
        <charset val="129"/>
      </rPr>
      <t xml:space="preserve">) 42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2"/>
        <charset val="129"/>
      </rPr>
      <t xml:space="preserve">x2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2"/>
        <charset val="129"/>
      </rPr>
      <t xml:space="preserve">x3</t>
    </r>
    <r>
      <rPr>
        <sz val="11"/>
        <color theme="1"/>
        <rFont val="WenQuanYi Zen Hei"/>
        <family val="2"/>
      </rPr>
      <t xml:space="preserve">천원</t>
    </r>
  </si>
  <si>
    <r>
      <rPr>
        <sz val="11"/>
        <color theme="1"/>
        <rFont val="맑은 고딕"/>
        <family val="2"/>
        <charset val="129"/>
      </rPr>
      <t xml:space="preserve">= 42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2"/>
        <charset val="129"/>
      </rPr>
      <t xml:space="preserve">x2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2"/>
        <charset val="129"/>
      </rPr>
      <t xml:space="preserve">x10</t>
    </r>
    <r>
      <rPr>
        <sz val="11"/>
        <color theme="1"/>
        <rFont val="WenQuanYi Zen Hei"/>
        <family val="2"/>
      </rPr>
      <t xml:space="preserve">천원</t>
    </r>
  </si>
  <si>
    <r>
      <rPr>
        <sz val="11"/>
        <color theme="1"/>
        <rFont val="맑은 고딕"/>
        <family val="2"/>
        <charset val="129"/>
      </rPr>
      <t xml:space="preserve">10</t>
    </r>
    <r>
      <rPr>
        <sz val="11"/>
        <color theme="1"/>
        <rFont val="WenQuanYi Zen Hei"/>
        <family val="2"/>
      </rPr>
      <t xml:space="preserve">월</t>
    </r>
  </si>
  <si>
    <t xml:space="preserve">EAP</t>
  </si>
  <si>
    <r>
      <rPr>
        <sz val="11"/>
        <color theme="1"/>
        <rFont val="맑은 고딕"/>
        <family val="2"/>
        <charset val="129"/>
      </rPr>
      <t xml:space="preserve">EAP </t>
    </r>
    <r>
      <rPr>
        <sz val="11"/>
        <color theme="1"/>
        <rFont val="WenQuanYi Zen Hei"/>
        <family val="2"/>
      </rPr>
      <t xml:space="preserve">확대 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WenQuanYi Zen Hei"/>
        <family val="2"/>
      </rPr>
      <t xml:space="preserve">심리상태 및 정신건강 관련</t>
    </r>
    <r>
      <rPr>
        <sz val="11"/>
        <color theme="1"/>
        <rFont val="맑은 고딕"/>
        <family val="2"/>
        <charset val="129"/>
      </rPr>
      <t xml:space="preserve">)</t>
    </r>
  </si>
  <si>
    <t xml:space="preserve">민원전화</t>
  </si>
  <si>
    <r>
      <rPr>
        <sz val="11"/>
        <color theme="1"/>
        <rFont val="맑은 고딕"/>
        <family val="2"/>
        <charset val="129"/>
      </rPr>
      <t xml:space="preserve">8-</t>
    </r>
    <r>
      <rPr>
        <sz val="11"/>
        <color theme="1"/>
        <rFont val="WenQuanYi Zen Hei"/>
        <family val="2"/>
      </rPr>
      <t xml:space="preserve">다</t>
    </r>
    <r>
      <rPr>
        <sz val="11"/>
        <color theme="1"/>
        <rFont val="맑은 고딕"/>
        <family val="2"/>
        <charset val="129"/>
      </rPr>
      <t xml:space="preserve">-1) </t>
    </r>
    <r>
      <rPr>
        <sz val="11"/>
        <color theme="1"/>
        <rFont val="WenQuanYi Zen Hei"/>
        <family val="2"/>
      </rPr>
      <t xml:space="preserve">지사 민원전화 개편 및 검사원 듀얼번호 도입</t>
    </r>
  </si>
  <si>
    <t xml:space="preserve">지사 민원전화 개편 관련 용역, 회의, 여비</t>
  </si>
  <si>
    <t xml:space="preserve">하</t>
  </si>
  <si>
    <t xml:space="preserve">온라인교육</t>
  </si>
  <si>
    <r>
      <rPr>
        <sz val="11"/>
        <color theme="1"/>
        <rFont val="맑은 고딕"/>
        <family val="2"/>
        <charset val="129"/>
      </rPr>
      <t xml:space="preserve">4-1-1. </t>
    </r>
    <r>
      <rPr>
        <sz val="11"/>
        <color theme="1"/>
        <rFont val="WenQuanYi Zen Hei"/>
        <family val="2"/>
      </rPr>
      <t xml:space="preserve">교육기획실</t>
    </r>
  </si>
  <si>
    <r>
      <rPr>
        <sz val="11"/>
        <color theme="1"/>
        <rFont val="맑은 고딕"/>
        <family val="2"/>
        <charset val="129"/>
      </rPr>
      <t xml:space="preserve">8-1-1. </t>
    </r>
    <r>
      <rPr>
        <sz val="11"/>
        <color theme="1"/>
        <rFont val="WenQuanYi Zen Hei"/>
        <family val="2"/>
      </rPr>
      <t xml:space="preserve">수요자 맞춤형 승강기 법정교육 운영으로 교육만족도 제고</t>
    </r>
  </si>
  <si>
    <t xml:space="preserve">시스템구축</t>
  </si>
  <si>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WenQuanYi Zen Hei"/>
        <family val="2"/>
      </rPr>
      <t xml:space="preserve">교육운영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WenQuanYi Zen Hei"/>
        <family val="2"/>
      </rPr>
      <t xml:space="preserve">승강기교육센터 온라인 콘텐츠 고도화</t>
    </r>
  </si>
  <si>
    <r>
      <rPr>
        <sz val="11"/>
        <color theme="1"/>
        <rFont val="맑은 고딕"/>
        <family val="2"/>
        <charset val="129"/>
      </rPr>
      <t xml:space="preserve">=1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2"/>
        <charset val="129"/>
      </rPr>
      <t xml:space="preserve">x100,000</t>
    </r>
    <r>
      <rPr>
        <sz val="11"/>
        <color theme="1"/>
        <rFont val="WenQuanYi Zen Hei"/>
        <family val="2"/>
      </rPr>
      <t xml:space="preserve">천원</t>
    </r>
  </si>
  <si>
    <t xml:space="preserve">승강기교육센터 온라인 콘텐츠 고도화</t>
  </si>
  <si>
    <t xml:space="preserve">CBT</t>
  </si>
  <si>
    <t xml:space="preserve">전산장비</t>
  </si>
  <si>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WenQuanYi Zen Hei"/>
        <family val="2"/>
      </rPr>
      <t xml:space="preserve">교육운영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WenQuanYi Zen Hei"/>
        <family val="2"/>
      </rPr>
      <t xml:space="preserve">승강기 인재개발원 컴퓨터 추가 설치</t>
    </r>
    <r>
      <rPr>
        <sz val="11"/>
        <color theme="1"/>
        <rFont val="맑은 고딕"/>
        <family val="2"/>
        <charset val="129"/>
      </rPr>
      <t xml:space="preserve">(CBT</t>
    </r>
    <r>
      <rPr>
        <sz val="11"/>
        <color theme="1"/>
        <rFont val="WenQuanYi Zen Hei"/>
        <family val="2"/>
      </rPr>
      <t xml:space="preserve">실 및 강의실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</si>
  <si>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맑은 고딕"/>
        <family val="2"/>
        <charset val="129"/>
      </rPr>
      <t xml:space="preserve">=16</t>
    </r>
    <r>
      <rPr>
        <sz val="11"/>
        <color theme="1"/>
        <rFont val="WenQuanYi Zen Hei"/>
        <family val="2"/>
      </rPr>
      <t xml:space="preserve">대</t>
    </r>
    <r>
      <rPr>
        <sz val="11"/>
        <color theme="1"/>
        <rFont val="맑은 고딕"/>
        <family val="2"/>
        <charset val="129"/>
      </rPr>
      <t xml:space="preserve">x3,125</t>
    </r>
    <r>
      <rPr>
        <sz val="11"/>
        <color theme="1"/>
        <rFont val="WenQuanYi Zen Hei"/>
        <family val="2"/>
      </rPr>
      <t xml:space="preserve">천원</t>
    </r>
  </si>
  <si>
    <t xml:space="preserve">승강기인재개발원 컴퓨터 추가 설치(CBT실 및 강의실)</t>
  </si>
  <si>
    <t xml:space="preserve">조직개편</t>
  </si>
  <si>
    <t xml:space="preserve">조직개편에 따른 인재경영실 예산 반영 검토</t>
  </si>
  <si>
    <t xml:space="preserve">숙박비</t>
  </si>
  <si>
    <r>
      <rPr>
        <sz val="11"/>
        <color theme="1"/>
        <rFont val="맑은 고딕"/>
        <family val="2"/>
        <charset val="129"/>
      </rPr>
      <t xml:space="preserve">8-</t>
    </r>
    <r>
      <rPr>
        <sz val="11"/>
        <color theme="1"/>
        <rFont val="WenQuanYi Zen Hei"/>
        <family val="2"/>
      </rPr>
      <t xml:space="preserve">나</t>
    </r>
    <r>
      <rPr>
        <sz val="11"/>
        <color theme="1"/>
        <rFont val="맑은 고딕"/>
        <family val="2"/>
        <charset val="129"/>
      </rPr>
      <t xml:space="preserve">-4) </t>
    </r>
    <r>
      <rPr>
        <sz val="11"/>
        <color theme="1"/>
        <rFont val="WenQuanYi Zen Hei"/>
        <family val="2"/>
      </rPr>
      <t xml:space="preserve">사고조사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WenQuanYi Zen Hei"/>
        <family val="2"/>
      </rPr>
      <t xml:space="preserve">교육사업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WenQuanYi Zen Hei"/>
        <family val="2"/>
      </rPr>
      <t xml:space="preserve">기술사업 등 숙박비 현실 반영</t>
    </r>
  </si>
  <si>
    <t xml:space="preserve">출장비(숙박비) 부가세 관련 예산 배정 검토</t>
  </si>
  <si>
    <t xml:space="preserve">인재개발원</t>
  </si>
  <si>
    <r>
      <rPr>
        <sz val="11"/>
        <color theme="1"/>
        <rFont val="맑은 고딕"/>
        <family val="2"/>
        <charset val="129"/>
      </rPr>
      <t xml:space="preserve">4-1-2. </t>
    </r>
    <r>
      <rPr>
        <sz val="11"/>
        <color theme="1"/>
        <rFont val="WenQuanYi Zen Hei"/>
        <family val="2"/>
      </rPr>
      <t xml:space="preserve">교육운영실</t>
    </r>
  </si>
  <si>
    <t xml:space="preserve">인재개발원 주말 개방 관련 예산(인건비, 웰컴키트 등)</t>
  </si>
  <si>
    <r>
      <rPr>
        <sz val="11"/>
        <color theme="1"/>
        <rFont val="맑은 고딕"/>
        <family val="2"/>
        <charset val="129"/>
      </rPr>
      <t xml:space="preserve">3-2-1. </t>
    </r>
    <r>
      <rPr>
        <sz val="11"/>
        <color theme="1"/>
        <rFont val="WenQuanYi Zen Hei"/>
        <family val="2"/>
      </rPr>
      <t xml:space="preserve">기술사업실</t>
    </r>
  </si>
  <si>
    <r>
      <rPr>
        <sz val="11"/>
        <color theme="1"/>
        <rFont val="맑은 고딕"/>
        <family val="2"/>
        <charset val="129"/>
      </rPr>
      <t xml:space="preserve">3-3-1. </t>
    </r>
    <r>
      <rPr>
        <sz val="11"/>
        <color theme="1"/>
        <rFont val="WenQuanYi Zen Hei"/>
        <family val="2"/>
      </rPr>
      <t xml:space="preserve">기술사업 다양화로 승강기 안전진단 서비스 확대</t>
    </r>
  </si>
  <si>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WenQuanYi Zen Hei"/>
        <family val="2"/>
      </rPr>
      <t xml:space="preserve">협약기관 발굴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WenQuanYi Zen Hei"/>
        <family val="2"/>
      </rPr>
      <t xml:space="preserve">기술사업 필요 검사용품 구입</t>
    </r>
  </si>
  <si>
    <r>
      <rPr>
        <sz val="11"/>
        <color theme="1"/>
        <rFont val="맑은 고딕"/>
        <family val="2"/>
        <charset val="129"/>
      </rPr>
      <t xml:space="preserve">=(</t>
    </r>
    <r>
      <rPr>
        <sz val="11"/>
        <color theme="1"/>
        <rFont val="WenQuanYi Zen Hei"/>
        <family val="2"/>
      </rPr>
      <t xml:space="preserve">안전용품</t>
    </r>
    <r>
      <rPr>
        <sz val="11"/>
        <color theme="1"/>
        <rFont val="맑은 고딕"/>
        <family val="2"/>
        <charset val="129"/>
      </rPr>
      <t xml:space="preserve">) 25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2"/>
        <charset val="129"/>
      </rPr>
      <t xml:space="preserve">×200</t>
    </r>
    <r>
      <rPr>
        <sz val="11"/>
        <color theme="1"/>
        <rFont val="WenQuanYi Zen Hei"/>
        <family val="2"/>
      </rPr>
      <t xml:space="preserve">천원 </t>
    </r>
  </si>
  <si>
    <r>
      <rPr>
        <sz val="11"/>
        <color theme="1"/>
        <rFont val="맑은 고딕"/>
        <family val="2"/>
        <charset val="129"/>
      </rPr>
      <t xml:space="preserve">=(</t>
    </r>
    <r>
      <rPr>
        <sz val="11"/>
        <color theme="1"/>
        <rFont val="WenQuanYi Zen Hei"/>
        <family val="2"/>
      </rPr>
      <t xml:space="preserve">안전용품</t>
    </r>
    <r>
      <rPr>
        <sz val="11"/>
        <color theme="1"/>
        <rFont val="맑은 고딕"/>
        <family val="2"/>
        <charset val="129"/>
      </rPr>
      <t xml:space="preserve">) 27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2"/>
        <charset val="129"/>
      </rPr>
      <t xml:space="preserve">×409.8</t>
    </r>
    <r>
      <rPr>
        <sz val="11"/>
        <color theme="1"/>
        <rFont val="WenQuanYi Zen Hei"/>
        <family val="2"/>
      </rPr>
      <t xml:space="preserve">천원 </t>
    </r>
  </si>
  <si>
    <t xml:space="preserve">수입계획변경(29억-&gt;35억) 및 인원증가(19-&gt;24명)</t>
  </si>
  <si>
    <t xml:space="preserve">기술사업회의</t>
  </si>
  <si>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WenQuanYi Zen Hei"/>
        <family val="2"/>
      </rPr>
      <t xml:space="preserve">협약기관 발굴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WenQuanYi Zen Hei"/>
        <family val="2"/>
      </rPr>
      <t xml:space="preserve">기술사업 위한 회의 실시</t>
    </r>
  </si>
  <si>
    <r>
      <rPr>
        <sz val="11"/>
        <color theme="1"/>
        <rFont val="맑은 고딕"/>
        <family val="2"/>
        <charset val="129"/>
      </rPr>
      <t xml:space="preserve">=(</t>
    </r>
    <r>
      <rPr>
        <sz val="11"/>
        <color theme="1"/>
        <rFont val="WenQuanYi Zen Hei"/>
        <family val="2"/>
      </rPr>
      <t xml:space="preserve">내부</t>
    </r>
    <r>
      <rPr>
        <sz val="11"/>
        <color theme="1"/>
        <rFont val="맑은 고딕"/>
        <family val="2"/>
        <charset val="129"/>
      </rPr>
      <t xml:space="preserve">) 20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2"/>
        <charset val="129"/>
      </rPr>
      <t xml:space="preserve">×30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2"/>
        <charset val="129"/>
      </rPr>
      <t xml:space="preserve">×5</t>
    </r>
    <r>
      <rPr>
        <sz val="11"/>
        <color theme="1"/>
        <rFont val="WenQuanYi Zen Hei"/>
        <family val="2"/>
      </rPr>
      <t xml:space="preserve">천원 </t>
    </r>
    <r>
      <rPr>
        <sz val="11"/>
        <color theme="1"/>
        <rFont val="맑은 고딕"/>
        <family val="2"/>
        <charset val="129"/>
      </rPr>
      <t xml:space="preserve">+ (</t>
    </r>
    <r>
      <rPr>
        <sz val="11"/>
        <color theme="1"/>
        <rFont val="WenQuanYi Zen Hei"/>
        <family val="2"/>
      </rPr>
      <t xml:space="preserve">외부</t>
    </r>
    <r>
      <rPr>
        <sz val="11"/>
        <color theme="1"/>
        <rFont val="맑은 고딕"/>
        <family val="2"/>
        <charset val="129"/>
      </rPr>
      <t xml:space="preserve">) 10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2"/>
        <charset val="129"/>
      </rPr>
      <t xml:space="preserve">×10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2"/>
        <charset val="129"/>
      </rPr>
      <t xml:space="preserve">×30</t>
    </r>
    <r>
      <rPr>
        <sz val="11"/>
        <color theme="1"/>
        <rFont val="WenQuanYi Zen Hei"/>
        <family val="2"/>
      </rPr>
      <t xml:space="preserve">천원</t>
    </r>
  </si>
  <si>
    <r>
      <rPr>
        <sz val="11"/>
        <color theme="1"/>
        <rFont val="맑은 고딕"/>
        <family val="2"/>
        <charset val="129"/>
      </rPr>
      <t xml:space="preserve">=(</t>
    </r>
    <r>
      <rPr>
        <sz val="11"/>
        <color theme="1"/>
        <rFont val="WenQuanYi Zen Hei"/>
        <family val="2"/>
      </rPr>
      <t xml:space="preserve">내부</t>
    </r>
    <r>
      <rPr>
        <sz val="11"/>
        <color theme="1"/>
        <rFont val="맑은 고딕"/>
        <family val="2"/>
        <charset val="129"/>
      </rPr>
      <t xml:space="preserve">) 15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2"/>
        <charset val="129"/>
      </rPr>
      <t xml:space="preserve">×30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2"/>
        <charset val="129"/>
      </rPr>
      <t xml:space="preserve">×10</t>
    </r>
    <r>
      <rPr>
        <sz val="11"/>
        <color theme="1"/>
        <rFont val="WenQuanYi Zen Hei"/>
        <family val="2"/>
      </rPr>
      <t xml:space="preserve">천원 </t>
    </r>
    <r>
      <rPr>
        <sz val="11"/>
        <color theme="1"/>
        <rFont val="맑은 고딕"/>
        <family val="2"/>
        <charset val="129"/>
      </rPr>
      <t xml:space="preserve">+ (</t>
    </r>
    <r>
      <rPr>
        <sz val="11"/>
        <color theme="1"/>
        <rFont val="WenQuanYi Zen Hei"/>
        <family val="2"/>
      </rPr>
      <t xml:space="preserve">외부</t>
    </r>
    <r>
      <rPr>
        <sz val="11"/>
        <color theme="1"/>
        <rFont val="맑은 고딕"/>
        <family val="2"/>
        <charset val="129"/>
      </rPr>
      <t xml:space="preserve">) 12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2"/>
        <charset val="129"/>
      </rPr>
      <t xml:space="preserve">×35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2"/>
        <charset val="129"/>
      </rPr>
      <t xml:space="preserve">×15</t>
    </r>
    <r>
      <rPr>
        <sz val="11"/>
        <color theme="1"/>
        <rFont val="WenQuanYi Zen Hei"/>
        <family val="2"/>
      </rPr>
      <t xml:space="preserve">천원</t>
    </r>
  </si>
  <si>
    <t xml:space="preserve">홍보물품</t>
  </si>
  <si>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WenQuanYi Zen Hei"/>
        <family val="2"/>
      </rPr>
      <t xml:space="preserve">협약기관 발굴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WenQuanYi Zen Hei"/>
        <family val="2"/>
      </rPr>
      <t xml:space="preserve">기술사업 홍보물품 구입</t>
    </r>
  </si>
  <si>
    <r>
      <rPr>
        <sz val="11"/>
        <color theme="1"/>
        <rFont val="맑은 고딕"/>
        <family val="2"/>
        <charset val="129"/>
      </rPr>
      <t xml:space="preserve">=100</t>
    </r>
    <r>
      <rPr>
        <sz val="11"/>
        <color theme="1"/>
        <rFont val="WenQuanYi Zen Hei"/>
        <family val="2"/>
      </rPr>
      <t xml:space="preserve">개</t>
    </r>
    <r>
      <rPr>
        <sz val="11"/>
        <color theme="1"/>
        <rFont val="맑은 고딕"/>
        <family val="2"/>
        <charset val="129"/>
      </rPr>
      <t xml:space="preserve">×25</t>
    </r>
    <r>
      <rPr>
        <sz val="11"/>
        <color theme="1"/>
        <rFont val="WenQuanYi Zen Hei"/>
        <family val="2"/>
      </rPr>
      <t xml:space="preserve">천원</t>
    </r>
  </si>
  <si>
    <t xml:space="preserve">법인차량</t>
  </si>
  <si>
    <t xml:space="preserve">기술용역을 위한 법인차량 추가 제공</t>
  </si>
  <si>
    <t xml:space="preserve">주차기</t>
  </si>
  <si>
    <t xml:space="preserve">주차기 사업 관련 예산</t>
  </si>
  <si>
    <t xml:space="preserve">숙박비 현실화(장기 체류 등)</t>
  </si>
  <si>
    <t xml:space="preserve">홍보물</t>
  </si>
  <si>
    <r>
      <rPr>
        <sz val="11"/>
        <color theme="1"/>
        <rFont val="맑은 고딕"/>
        <family val="2"/>
        <charset val="129"/>
      </rPr>
      <t xml:space="preserve">3-2-2. </t>
    </r>
    <r>
      <rPr>
        <sz val="11"/>
        <color theme="1"/>
        <rFont val="WenQuanYi Zen Hei"/>
        <family val="2"/>
      </rPr>
      <t xml:space="preserve">기술사업지원실</t>
    </r>
  </si>
  <si>
    <r>
      <rPr>
        <sz val="11"/>
        <color theme="1"/>
        <rFont val="맑은 고딕"/>
        <family val="2"/>
        <charset val="129"/>
      </rPr>
      <t xml:space="preserve">11-3-1. </t>
    </r>
    <r>
      <rPr>
        <sz val="11"/>
        <color theme="1"/>
        <rFont val="WenQuanYi Zen Hei"/>
        <family val="2"/>
      </rPr>
      <t xml:space="preserve">승강설비 중소기업 산재예방활동 지원</t>
    </r>
  </si>
  <si>
    <r>
      <rPr>
        <sz val="11"/>
        <color theme="1"/>
        <rFont val="맑은 고딕"/>
        <family val="2"/>
        <charset val="129"/>
      </rPr>
      <t xml:space="preserve">2.(</t>
    </r>
    <r>
      <rPr>
        <sz val="11"/>
        <color theme="1"/>
        <rFont val="WenQuanYi Zen Hei"/>
        <family val="2"/>
      </rPr>
      <t xml:space="preserve">컨설팅 확대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WenQuanYi Zen Hei"/>
        <family val="2"/>
      </rPr>
      <t xml:space="preserve">안전관리체계 구축 및 위험성평가 컨설팅 등 사업관련 홍보물 제작</t>
    </r>
  </si>
  <si>
    <r>
      <rPr>
        <sz val="11"/>
        <color theme="1"/>
        <rFont val="맑은 고딕"/>
        <family val="2"/>
        <charset val="129"/>
      </rPr>
      <t xml:space="preserve">=100</t>
    </r>
    <r>
      <rPr>
        <sz val="11"/>
        <color theme="1"/>
        <rFont val="WenQuanYi Zen Hei"/>
        <family val="2"/>
      </rPr>
      <t xml:space="preserve">개</t>
    </r>
    <r>
      <rPr>
        <sz val="11"/>
        <color theme="1"/>
        <rFont val="맑은 고딕"/>
        <family val="2"/>
        <charset val="129"/>
      </rPr>
      <t xml:space="preserve">×20</t>
    </r>
    <r>
      <rPr>
        <sz val="11"/>
        <color theme="1"/>
        <rFont val="WenQuanYi Zen Hei"/>
        <family val="2"/>
      </rPr>
      <t xml:space="preserve">천원</t>
    </r>
  </si>
  <si>
    <r>
      <rPr>
        <sz val="11"/>
        <color theme="1"/>
        <rFont val="맑은 고딕"/>
        <family val="2"/>
        <charset val="129"/>
      </rPr>
      <t xml:space="preserve">=200</t>
    </r>
    <r>
      <rPr>
        <sz val="11"/>
        <color theme="1"/>
        <rFont val="WenQuanYi Zen Hei"/>
        <family val="2"/>
      </rPr>
      <t xml:space="preserve">개</t>
    </r>
    <r>
      <rPr>
        <sz val="11"/>
        <color theme="1"/>
        <rFont val="맑은 고딕"/>
        <family val="2"/>
        <charset val="129"/>
      </rPr>
      <t xml:space="preserve">×20</t>
    </r>
    <r>
      <rPr>
        <sz val="11"/>
        <color theme="1"/>
        <rFont val="WenQuanYi Zen Hei"/>
        <family val="2"/>
      </rPr>
      <t xml:space="preserve">천원</t>
    </r>
  </si>
  <si>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WenQuanYi Zen Hei"/>
        <family val="2"/>
      </rPr>
      <t xml:space="preserve">증가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WenQuanYi Zen Hei"/>
        <family val="2"/>
      </rPr>
      <t xml:space="preserve">위험성평가 컨설팅 확대를 위한 리플릿 등 추가 제작</t>
    </r>
  </si>
  <si>
    <r>
      <rPr>
        <sz val="11"/>
        <color theme="1"/>
        <rFont val="맑은 고딕"/>
        <family val="2"/>
        <charset val="129"/>
      </rPr>
      <t xml:space="preserve">3</t>
    </r>
    <r>
      <rPr>
        <sz val="11"/>
        <color theme="1"/>
        <rFont val="WenQuanYi Zen Hei"/>
        <family val="2"/>
      </rPr>
      <t xml:space="preserve">월</t>
    </r>
  </si>
  <si>
    <t xml:space="preserve">중</t>
  </si>
  <si>
    <t xml:space="preserve">건강검진</t>
  </si>
  <si>
    <r>
      <rPr>
        <sz val="11"/>
        <color theme="1"/>
        <rFont val="맑은 고딕"/>
        <family val="2"/>
        <charset val="129"/>
      </rPr>
      <t xml:space="preserve">1-2-2. </t>
    </r>
    <r>
      <rPr>
        <sz val="11"/>
        <color theme="1"/>
        <rFont val="WenQuanYi Zen Hei"/>
        <family val="2"/>
      </rPr>
      <t xml:space="preserve">위험기계 인증</t>
    </r>
    <r>
      <rPr>
        <sz val="11"/>
        <color theme="1"/>
        <rFont val="맑은 고딕"/>
        <family val="2"/>
        <charset val="129"/>
      </rPr>
      <t xml:space="preserve">·</t>
    </r>
    <r>
      <rPr>
        <sz val="11"/>
        <color theme="1"/>
        <rFont val="WenQuanYi Zen Hei"/>
        <family val="2"/>
      </rPr>
      <t xml:space="preserve">검사 업무의 디지털화</t>
    </r>
  </si>
  <si>
    <r>
      <rPr>
        <sz val="11"/>
        <color theme="1"/>
        <rFont val="맑은 고딕"/>
        <family val="2"/>
        <charset val="129"/>
      </rPr>
      <t xml:space="preserve">2.(</t>
    </r>
    <r>
      <rPr>
        <sz val="11"/>
        <color theme="1"/>
        <rFont val="WenQuanYi Zen Hei"/>
        <family val="2"/>
      </rPr>
      <t xml:space="preserve">사업목표 달성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WenQuanYi Zen Hei"/>
        <family val="2"/>
      </rPr>
      <t xml:space="preserve">안전인증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WenQuanYi Zen Hei"/>
        <family val="2"/>
      </rPr>
      <t xml:space="preserve">검사 시 사업장 출입을 위한 건강검진 및 교육 등 비용</t>
    </r>
  </si>
  <si>
    <r>
      <rPr>
        <sz val="11"/>
        <color theme="1"/>
        <rFont val="맑은 고딕"/>
        <family val="2"/>
        <charset val="129"/>
      </rPr>
      <t xml:space="preserve">=2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2"/>
        <charset val="129"/>
      </rPr>
      <t xml:space="preserve">×60</t>
    </r>
    <r>
      <rPr>
        <sz val="11"/>
        <color theme="1"/>
        <rFont val="WenQuanYi Zen Hei"/>
        <family val="2"/>
      </rPr>
      <t xml:space="preserve">천원</t>
    </r>
  </si>
  <si>
    <t xml:space="preserve">워크숍</t>
  </si>
  <si>
    <t xml:space="preserve">전국 단위 사업장 직원 업무역량 및 기술교환 워크숍 확대</t>
  </si>
  <si>
    <t xml:space="preserve">입법동향</t>
  </si>
  <si>
    <r>
      <rPr>
        <sz val="11"/>
        <color theme="1"/>
        <rFont val="맑은 고딕"/>
        <family val="2"/>
        <charset val="129"/>
      </rPr>
      <t xml:space="preserve">13-</t>
    </r>
    <r>
      <rPr>
        <sz val="11"/>
        <color theme="1"/>
        <rFont val="WenQuanYi Zen Hei"/>
        <family val="2"/>
      </rPr>
      <t xml:space="preserve">라</t>
    </r>
    <r>
      <rPr>
        <sz val="11"/>
        <color theme="1"/>
        <rFont val="맑은 고딕"/>
        <family val="2"/>
        <charset val="129"/>
      </rPr>
      <t xml:space="preserve">-1) </t>
    </r>
    <r>
      <rPr>
        <sz val="11"/>
        <color theme="1"/>
        <rFont val="WenQuanYi Zen Hei"/>
        <family val="2"/>
      </rPr>
      <t xml:space="preserve">국회</t>
    </r>
    <r>
      <rPr>
        <sz val="11"/>
        <color theme="1"/>
        <rFont val="맑은 고딕"/>
        <family val="2"/>
        <charset val="129"/>
      </rPr>
      <t xml:space="preserve">·</t>
    </r>
    <r>
      <rPr>
        <sz val="11"/>
        <color theme="1"/>
        <rFont val="WenQuanYi Zen Hei"/>
        <family val="2"/>
      </rPr>
      <t xml:space="preserve">재경부 등 직접 방문으로 예산 및 승진</t>
    </r>
    <r>
      <rPr>
        <sz val="11"/>
        <color theme="1"/>
        <rFont val="맑은 고딕"/>
        <family val="2"/>
        <charset val="129"/>
      </rPr>
      <t xml:space="preserve">TO </t>
    </r>
    <r>
      <rPr>
        <sz val="11"/>
        <color theme="1"/>
        <rFont val="WenQuanYi Zen Hei"/>
        <family val="2"/>
      </rPr>
      <t xml:space="preserve">확보</t>
    </r>
  </si>
  <si>
    <r>
      <rPr>
        <sz val="11"/>
        <color theme="1"/>
        <rFont val="맑은 고딕"/>
        <family val="2"/>
        <charset val="129"/>
      </rPr>
      <t xml:space="preserve">2-1-1. </t>
    </r>
    <r>
      <rPr>
        <sz val="11"/>
        <color theme="1"/>
        <rFont val="WenQuanYi Zen Hei"/>
        <family val="2"/>
      </rPr>
      <t xml:space="preserve">기획예산실</t>
    </r>
  </si>
  <si>
    <r>
      <rPr>
        <sz val="11"/>
        <color theme="1"/>
        <rFont val="맑은 고딕"/>
        <family val="2"/>
        <charset val="129"/>
      </rPr>
      <t xml:space="preserve">10-1-2. </t>
    </r>
    <r>
      <rPr>
        <sz val="11"/>
        <color theme="1"/>
        <rFont val="WenQuanYi Zen Hei"/>
        <family val="2"/>
      </rPr>
      <t xml:space="preserve">정부ᆞ국회 등 대외 지적사항 개선</t>
    </r>
  </si>
  <si>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WenQuanYi Zen Hei"/>
        <family val="2"/>
      </rPr>
      <t xml:space="preserve">대외협력 강화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WenQuanYi Zen Hei"/>
        <family val="2"/>
      </rPr>
      <t xml:space="preserve">의원실별 입법동향 파악 및 업무 회의</t>
    </r>
  </si>
  <si>
    <r>
      <rPr>
        <sz val="11"/>
        <color theme="1"/>
        <rFont val="맑은 고딕"/>
        <family val="2"/>
        <charset val="129"/>
      </rPr>
      <t xml:space="preserve">= (</t>
    </r>
    <r>
      <rPr>
        <sz val="11"/>
        <color theme="1"/>
        <rFont val="WenQuanYi Zen Hei"/>
        <family val="2"/>
      </rPr>
      <t xml:space="preserve">외부</t>
    </r>
    <r>
      <rPr>
        <sz val="11"/>
        <color theme="1"/>
        <rFont val="맑은 고딕"/>
        <family val="2"/>
        <charset val="129"/>
      </rPr>
      <t xml:space="preserve">) 4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2"/>
        <charset val="129"/>
      </rPr>
      <t xml:space="preserve">×10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2"/>
        <charset val="129"/>
      </rPr>
      <t xml:space="preserve">×30</t>
    </r>
    <r>
      <rPr>
        <sz val="11"/>
        <color theme="1"/>
        <rFont val="WenQuanYi Zen Hei"/>
        <family val="2"/>
      </rPr>
      <t xml:space="preserve">천원</t>
    </r>
    <r>
      <rPr>
        <sz val="11"/>
        <color theme="1"/>
        <rFont val="맑은 고딕"/>
        <family val="2"/>
        <charset val="129"/>
      </rPr>
      <t xml:space="preserve">×12</t>
    </r>
    <r>
      <rPr>
        <sz val="11"/>
        <color theme="1"/>
        <rFont val="WenQuanYi Zen Hei"/>
        <family val="2"/>
      </rPr>
      <t xml:space="preserve">월</t>
    </r>
  </si>
  <si>
    <r>
      <rPr>
        <sz val="11"/>
        <color theme="1"/>
        <rFont val="맑은 고딕"/>
        <family val="2"/>
        <charset val="129"/>
      </rPr>
      <t xml:space="preserve">= (</t>
    </r>
    <r>
      <rPr>
        <sz val="11"/>
        <color theme="1"/>
        <rFont val="WenQuanYi Zen Hei"/>
        <family val="2"/>
      </rPr>
      <t xml:space="preserve">외부</t>
    </r>
    <r>
      <rPr>
        <sz val="11"/>
        <color theme="1"/>
        <rFont val="맑은 고딕"/>
        <family val="2"/>
        <charset val="129"/>
      </rPr>
      <t xml:space="preserve">) 4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2"/>
        <charset val="129"/>
      </rPr>
      <t xml:space="preserve">×120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2"/>
        <charset val="129"/>
      </rPr>
      <t xml:space="preserve">×15</t>
    </r>
    <r>
      <rPr>
        <sz val="11"/>
        <color theme="1"/>
        <rFont val="WenQuanYi Zen Hei"/>
        <family val="2"/>
      </rPr>
      <t xml:space="preserve">천원</t>
    </r>
  </si>
  <si>
    <t xml:space="preserve">업무보고</t>
  </si>
  <si>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WenQuanYi Zen Hei"/>
        <family val="2"/>
      </rPr>
      <t xml:space="preserve">대외협력 강화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WenQuanYi Zen Hei"/>
        <family val="2"/>
      </rPr>
      <t xml:space="preserve">공단 주요 이슈사항 업무 보고 등</t>
    </r>
  </si>
  <si>
    <r>
      <rPr>
        <sz val="11"/>
        <color theme="1"/>
        <rFont val="맑은 고딕"/>
        <family val="2"/>
        <charset val="129"/>
      </rPr>
      <t xml:space="preserve">= (</t>
    </r>
    <r>
      <rPr>
        <sz val="11"/>
        <color theme="1"/>
        <rFont val="WenQuanYi Zen Hei"/>
        <family val="2"/>
      </rPr>
      <t xml:space="preserve">외부</t>
    </r>
    <r>
      <rPr>
        <sz val="11"/>
        <color theme="1"/>
        <rFont val="맑은 고딕"/>
        <family val="2"/>
        <charset val="129"/>
      </rPr>
      <t xml:space="preserve">) 4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2"/>
        <charset val="129"/>
      </rPr>
      <t xml:space="preserve">×80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2"/>
        <charset val="129"/>
      </rPr>
      <t xml:space="preserve">×15</t>
    </r>
    <r>
      <rPr>
        <sz val="11"/>
        <color theme="1"/>
        <rFont val="WenQuanYi Zen Hei"/>
        <family val="2"/>
      </rPr>
      <t xml:space="preserve">천원</t>
    </r>
  </si>
  <si>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WenQuanYi Zen Hei"/>
        <family val="2"/>
      </rPr>
      <t xml:space="preserve">국정감사 수감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WenQuanYi Zen Hei"/>
        <family val="2"/>
      </rPr>
      <t xml:space="preserve">대외기관 공단 홍보물품 제작ᆞ배포</t>
    </r>
  </si>
  <si>
    <r>
      <rPr>
        <sz val="11"/>
        <color theme="1"/>
        <rFont val="맑은 고딕"/>
        <family val="2"/>
        <charset val="129"/>
      </rPr>
      <t xml:space="preserve">= 200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2"/>
        <charset val="129"/>
      </rPr>
      <t xml:space="preserve">×1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2"/>
        <charset val="129"/>
      </rPr>
      <t xml:space="preserve">×30</t>
    </r>
    <r>
      <rPr>
        <sz val="11"/>
        <color theme="1"/>
        <rFont val="WenQuanYi Zen Hei"/>
        <family val="2"/>
      </rPr>
      <t xml:space="preserve">천원</t>
    </r>
  </si>
  <si>
    <r>
      <rPr>
        <sz val="11"/>
        <color theme="1"/>
        <rFont val="맑은 고딕"/>
        <family val="2"/>
        <charset val="129"/>
      </rPr>
      <t xml:space="preserve">7</t>
    </r>
    <r>
      <rPr>
        <sz val="11"/>
        <color theme="1"/>
        <rFont val="WenQuanYi Zen Hei"/>
        <family val="2"/>
      </rPr>
      <t xml:space="preserve">월</t>
    </r>
  </si>
  <si>
    <t xml:space="preserve">국정감사</t>
  </si>
  <si>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WenQuanYi Zen Hei"/>
        <family val="2"/>
      </rPr>
      <t xml:space="preserve">국정감사 수감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WenQuanYi Zen Hei"/>
        <family val="2"/>
      </rPr>
      <t xml:space="preserve">국정감사 사전 대응회의 운영</t>
    </r>
  </si>
  <si>
    <r>
      <rPr>
        <sz val="11"/>
        <color theme="1"/>
        <rFont val="맑은 고딕"/>
        <family val="2"/>
        <charset val="129"/>
      </rPr>
      <t xml:space="preserve">= (</t>
    </r>
    <r>
      <rPr>
        <sz val="11"/>
        <color theme="1"/>
        <rFont val="WenQuanYi Zen Hei"/>
        <family val="2"/>
      </rPr>
      <t xml:space="preserve">내부</t>
    </r>
    <r>
      <rPr>
        <sz val="11"/>
        <color theme="1"/>
        <rFont val="맑은 고딕"/>
        <family val="2"/>
        <charset val="129"/>
      </rPr>
      <t xml:space="preserve">) 40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2"/>
        <charset val="129"/>
      </rPr>
      <t xml:space="preserve">×3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2"/>
        <charset val="129"/>
      </rPr>
      <t xml:space="preserve">×5</t>
    </r>
    <r>
      <rPr>
        <sz val="11"/>
        <color theme="1"/>
        <rFont val="WenQuanYi Zen Hei"/>
        <family val="2"/>
      </rPr>
      <t xml:space="preserve">천원</t>
    </r>
  </si>
  <si>
    <r>
      <rPr>
        <sz val="11"/>
        <color theme="1"/>
        <rFont val="맑은 고딕"/>
        <family val="2"/>
        <charset val="129"/>
      </rPr>
      <t xml:space="preserve">= (</t>
    </r>
    <r>
      <rPr>
        <sz val="11"/>
        <color theme="1"/>
        <rFont val="WenQuanYi Zen Hei"/>
        <family val="2"/>
      </rPr>
      <t xml:space="preserve">내부</t>
    </r>
    <r>
      <rPr>
        <sz val="11"/>
        <color theme="1"/>
        <rFont val="맑은 고딕"/>
        <family val="2"/>
        <charset val="129"/>
      </rPr>
      <t xml:space="preserve">) 20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2"/>
        <charset val="129"/>
      </rPr>
      <t xml:space="preserve">×3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2"/>
        <charset val="129"/>
      </rPr>
      <t xml:space="preserve">×10</t>
    </r>
    <r>
      <rPr>
        <sz val="11"/>
        <color theme="1"/>
        <rFont val="WenQuanYi Zen Hei"/>
        <family val="2"/>
      </rPr>
      <t xml:space="preserve">천원</t>
    </r>
  </si>
  <si>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WenQuanYi Zen Hei"/>
        <family val="2"/>
      </rPr>
      <t xml:space="preserve">국정감사 수감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WenQuanYi Zen Hei"/>
        <family val="2"/>
      </rPr>
      <t xml:space="preserve">국정감사 관련 의원실 방문 및 업무 회의</t>
    </r>
  </si>
  <si>
    <r>
      <rPr>
        <sz val="11"/>
        <color theme="1"/>
        <rFont val="맑은 고딕"/>
        <family val="2"/>
        <charset val="129"/>
      </rPr>
      <t xml:space="preserve">= (</t>
    </r>
    <r>
      <rPr>
        <sz val="11"/>
        <color theme="1"/>
        <rFont val="WenQuanYi Zen Hei"/>
        <family val="2"/>
      </rPr>
      <t xml:space="preserve">외부</t>
    </r>
    <r>
      <rPr>
        <sz val="11"/>
        <color theme="1"/>
        <rFont val="맑은 고딕"/>
        <family val="2"/>
        <charset val="129"/>
      </rPr>
      <t xml:space="preserve">) 4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2"/>
        <charset val="129"/>
      </rPr>
      <t xml:space="preserve">×6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2"/>
        <charset val="129"/>
      </rPr>
      <t xml:space="preserve">×30</t>
    </r>
    <r>
      <rPr>
        <sz val="11"/>
        <color theme="1"/>
        <rFont val="WenQuanYi Zen Hei"/>
        <family val="2"/>
      </rPr>
      <t xml:space="preserve">천원</t>
    </r>
  </si>
  <si>
    <r>
      <rPr>
        <sz val="11"/>
        <color theme="1"/>
        <rFont val="맑은 고딕"/>
        <family val="2"/>
        <charset val="129"/>
      </rPr>
      <t xml:space="preserve">= (</t>
    </r>
    <r>
      <rPr>
        <sz val="11"/>
        <color theme="1"/>
        <rFont val="WenQuanYi Zen Hei"/>
        <family val="2"/>
      </rPr>
      <t xml:space="preserve">외부</t>
    </r>
    <r>
      <rPr>
        <sz val="11"/>
        <color theme="1"/>
        <rFont val="맑은 고딕"/>
        <family val="2"/>
        <charset val="129"/>
      </rPr>
      <t xml:space="preserve">) 4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2"/>
        <charset val="129"/>
      </rPr>
      <t xml:space="preserve">×12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2"/>
        <charset val="129"/>
      </rPr>
      <t xml:space="preserve">×15</t>
    </r>
    <r>
      <rPr>
        <sz val="11"/>
        <color theme="1"/>
        <rFont val="WenQuanYi Zen Hei"/>
        <family val="2"/>
      </rPr>
      <t xml:space="preserve">천원</t>
    </r>
  </si>
  <si>
    <t xml:space="preserve">소통多방</t>
  </si>
  <si>
    <r>
      <rPr>
        <sz val="11"/>
        <color theme="1"/>
        <rFont val="맑은 고딕"/>
        <family val="2"/>
        <charset val="129"/>
      </rPr>
      <t xml:space="preserve">13-</t>
    </r>
    <r>
      <rPr>
        <sz val="11"/>
        <color theme="1"/>
        <rFont val="WenQuanYi Zen Hei"/>
        <family val="2"/>
      </rPr>
      <t xml:space="preserve">마</t>
    </r>
    <r>
      <rPr>
        <sz val="11"/>
        <color theme="1"/>
        <rFont val="맑은 고딕"/>
        <family val="2"/>
        <charset val="129"/>
      </rPr>
      <t xml:space="preserve">. </t>
    </r>
    <r>
      <rPr>
        <sz val="11"/>
        <color theme="1"/>
        <rFont val="WenQuanYi Zen Hei"/>
        <family val="2"/>
      </rPr>
      <t xml:space="preserve">현장 목소리 적극적 청취</t>
    </r>
  </si>
  <si>
    <r>
      <rPr>
        <sz val="11"/>
        <color theme="1"/>
        <rFont val="맑은 고딕"/>
        <family val="2"/>
        <charset val="129"/>
      </rPr>
      <t xml:space="preserve">10-1-7. </t>
    </r>
    <r>
      <rPr>
        <sz val="11"/>
        <color theme="1"/>
        <rFont val="WenQuanYi Zen Hei"/>
        <family val="2"/>
      </rPr>
      <t xml:space="preserve">직접 찾아가는 현장 소통 경영활동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WenQuanYi Zen Hei"/>
        <family val="2"/>
      </rPr>
      <t xml:space="preserve">노동이사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</si>
  <si>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WenQuanYi Zen Hei"/>
        <family val="2"/>
      </rPr>
      <t xml:space="preserve">대내소통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WenQuanYi Zen Hei"/>
        <family val="2"/>
      </rPr>
      <t xml:space="preserve">소통多방 운영을 위한 지역사무소 현장 방문</t>
    </r>
  </si>
  <si>
    <r>
      <rPr>
        <sz val="11"/>
        <color theme="1"/>
        <rFont val="맑은 고딕"/>
        <family val="2"/>
        <charset val="129"/>
      </rPr>
      <t xml:space="preserve">= (</t>
    </r>
    <r>
      <rPr>
        <sz val="11"/>
        <color theme="1"/>
        <rFont val="WenQuanYi Zen Hei"/>
        <family val="2"/>
      </rPr>
      <t xml:space="preserve">전국평균</t>
    </r>
    <r>
      <rPr>
        <sz val="11"/>
        <color theme="1"/>
        <rFont val="맑은 고딕"/>
        <family val="2"/>
        <charset val="129"/>
      </rPr>
      <t xml:space="preserve">) 2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2"/>
        <charset val="129"/>
      </rPr>
      <t xml:space="preserve">×4</t>
    </r>
    <r>
      <rPr>
        <sz val="11"/>
        <color theme="1"/>
        <rFont val="WenQuanYi Zen Hei"/>
        <family val="2"/>
      </rPr>
      <t xml:space="preserve">곳</t>
    </r>
    <r>
      <rPr>
        <sz val="11"/>
        <color theme="1"/>
        <rFont val="맑은 고딕"/>
        <family val="2"/>
        <charset val="129"/>
      </rPr>
      <t xml:space="preserve">×12</t>
    </r>
    <r>
      <rPr>
        <sz val="11"/>
        <color theme="1"/>
        <rFont val="WenQuanYi Zen Hei"/>
        <family val="2"/>
      </rPr>
      <t xml:space="preserve">개월</t>
    </r>
    <r>
      <rPr>
        <sz val="11"/>
        <color theme="1"/>
        <rFont val="맑은 고딕"/>
        <family val="2"/>
        <charset val="129"/>
      </rPr>
      <t xml:space="preserve">×105</t>
    </r>
    <r>
      <rPr>
        <sz val="11"/>
        <color theme="1"/>
        <rFont val="WenQuanYi Zen Hei"/>
        <family val="2"/>
      </rPr>
      <t xml:space="preserve">천원</t>
    </r>
  </si>
  <si>
    <r>
      <rPr>
        <sz val="11"/>
        <color theme="1"/>
        <rFont val="맑은 고딕"/>
        <family val="2"/>
        <charset val="129"/>
      </rPr>
      <t xml:space="preserve">= 2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2"/>
        <charset val="129"/>
      </rPr>
      <t xml:space="preserve">×24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2"/>
        <charset val="129"/>
      </rPr>
      <t xml:space="preserve">×105</t>
    </r>
    <r>
      <rPr>
        <sz val="11"/>
        <color theme="1"/>
        <rFont val="WenQuanYi Zen Hei"/>
        <family val="2"/>
      </rPr>
      <t xml:space="preserve">천원</t>
    </r>
  </si>
  <si>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WenQuanYi Zen Hei"/>
        <family val="2"/>
      </rPr>
      <t xml:space="preserve">대내소통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WenQuanYi Zen Hei"/>
        <family val="2"/>
      </rPr>
      <t xml:space="preserve">소통多방 현장 운영</t>
    </r>
  </si>
  <si>
    <r>
      <rPr>
        <sz val="11"/>
        <color theme="1"/>
        <rFont val="맑은 고딕"/>
        <family val="2"/>
        <charset val="129"/>
      </rPr>
      <t xml:space="preserve">= (</t>
    </r>
    <r>
      <rPr>
        <sz val="11"/>
        <color theme="1"/>
        <rFont val="WenQuanYi Zen Hei"/>
        <family val="2"/>
      </rPr>
      <t xml:space="preserve">내부</t>
    </r>
    <r>
      <rPr>
        <sz val="11"/>
        <color theme="1"/>
        <rFont val="맑은 고딕"/>
        <family val="2"/>
        <charset val="129"/>
      </rPr>
      <t xml:space="preserve">) 10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2"/>
        <charset val="129"/>
      </rPr>
      <t xml:space="preserve">×4</t>
    </r>
    <r>
      <rPr>
        <sz val="11"/>
        <color theme="1"/>
        <rFont val="WenQuanYi Zen Hei"/>
        <family val="2"/>
      </rPr>
      <t xml:space="preserve">곳</t>
    </r>
    <r>
      <rPr>
        <sz val="11"/>
        <color theme="1"/>
        <rFont val="맑은 고딕"/>
        <family val="2"/>
        <charset val="129"/>
      </rPr>
      <t xml:space="preserve">×12</t>
    </r>
    <r>
      <rPr>
        <sz val="11"/>
        <color theme="1"/>
        <rFont val="WenQuanYi Zen Hei"/>
        <family val="2"/>
      </rPr>
      <t xml:space="preserve">개월</t>
    </r>
    <r>
      <rPr>
        <sz val="11"/>
        <color theme="1"/>
        <rFont val="맑은 고딕"/>
        <family val="2"/>
        <charset val="129"/>
      </rPr>
      <t xml:space="preserve">×5</t>
    </r>
    <r>
      <rPr>
        <sz val="11"/>
        <color theme="1"/>
        <rFont val="WenQuanYi Zen Hei"/>
        <family val="2"/>
      </rPr>
      <t xml:space="preserve">천원</t>
    </r>
  </si>
  <si>
    <r>
      <rPr>
        <sz val="11"/>
        <color theme="1"/>
        <rFont val="맑은 고딕"/>
        <family val="2"/>
        <charset val="129"/>
      </rPr>
      <t xml:space="preserve">= (</t>
    </r>
    <r>
      <rPr>
        <sz val="11"/>
        <color theme="1"/>
        <rFont val="WenQuanYi Zen Hei"/>
        <family val="2"/>
      </rPr>
      <t xml:space="preserve">내부</t>
    </r>
    <r>
      <rPr>
        <sz val="11"/>
        <color theme="1"/>
        <rFont val="맑은 고딕"/>
        <family val="2"/>
        <charset val="129"/>
      </rPr>
      <t xml:space="preserve">) 9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2"/>
        <charset val="129"/>
      </rPr>
      <t xml:space="preserve">×19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2"/>
        <charset val="129"/>
      </rPr>
      <t xml:space="preserve">×10</t>
    </r>
    <r>
      <rPr>
        <sz val="11"/>
        <color theme="1"/>
        <rFont val="WenQuanYi Zen Hei"/>
        <family val="2"/>
      </rPr>
      <t xml:space="preserve">천원</t>
    </r>
  </si>
  <si>
    <t xml:space="preserve">대외소통</t>
  </si>
  <si>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WenQuanYi Zen Hei"/>
        <family val="2"/>
      </rPr>
      <t xml:space="preserve">대외소통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WenQuanYi Zen Hei"/>
        <family val="2"/>
      </rPr>
      <t xml:space="preserve">이해관계자 소통활동 추진 및 국회</t>
    </r>
    <r>
      <rPr>
        <sz val="11"/>
        <color theme="1"/>
        <rFont val="맑은 고딕"/>
        <family val="2"/>
        <charset val="129"/>
      </rPr>
      <t xml:space="preserve">·</t>
    </r>
    <r>
      <rPr>
        <sz val="11"/>
        <color theme="1"/>
        <rFont val="WenQuanYi Zen Hei"/>
        <family val="2"/>
      </rPr>
      <t xml:space="preserve">정부부처 등 방문</t>
    </r>
  </si>
  <si>
    <r>
      <rPr>
        <sz val="11"/>
        <color theme="1"/>
        <rFont val="맑은 고딕"/>
        <family val="2"/>
        <charset val="129"/>
      </rPr>
      <t xml:space="preserve">= (</t>
    </r>
    <r>
      <rPr>
        <sz val="11"/>
        <color theme="1"/>
        <rFont val="WenQuanYi Zen Hei"/>
        <family val="2"/>
      </rPr>
      <t xml:space="preserve">전국평균</t>
    </r>
    <r>
      <rPr>
        <sz val="11"/>
        <color theme="1"/>
        <rFont val="맑은 고딕"/>
        <family val="2"/>
        <charset val="129"/>
      </rPr>
      <t xml:space="preserve">) 1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2"/>
        <charset val="129"/>
      </rPr>
      <t xml:space="preserve">×2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2"/>
        <charset val="129"/>
      </rPr>
      <t xml:space="preserve">×12</t>
    </r>
    <r>
      <rPr>
        <sz val="11"/>
        <color theme="1"/>
        <rFont val="WenQuanYi Zen Hei"/>
        <family val="2"/>
      </rPr>
      <t xml:space="preserve">개월</t>
    </r>
    <r>
      <rPr>
        <sz val="11"/>
        <color theme="1"/>
        <rFont val="맑은 고딕"/>
        <family val="2"/>
        <charset val="129"/>
      </rPr>
      <t xml:space="preserve">×105</t>
    </r>
    <r>
      <rPr>
        <sz val="11"/>
        <color theme="1"/>
        <rFont val="WenQuanYi Zen Hei"/>
        <family val="2"/>
      </rPr>
      <t xml:space="preserve">천원</t>
    </r>
  </si>
  <si>
    <r>
      <rPr>
        <sz val="11"/>
        <color theme="1"/>
        <rFont val="맑은 고딕"/>
        <family val="2"/>
        <charset val="129"/>
      </rPr>
      <t xml:space="preserve">= 1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2"/>
        <charset val="129"/>
      </rPr>
      <t xml:space="preserve">×24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2"/>
        <charset val="129"/>
      </rPr>
      <t xml:space="preserve">×105</t>
    </r>
    <r>
      <rPr>
        <sz val="11"/>
        <color theme="1"/>
        <rFont val="WenQuanYi Zen Hei"/>
        <family val="2"/>
      </rPr>
      <t xml:space="preserve">천원</t>
    </r>
  </si>
  <si>
    <t xml:space="preserve">노동이사</t>
  </si>
  <si>
    <r>
      <rPr>
        <sz val="11"/>
        <color theme="1"/>
        <rFont val="맑은 고딕"/>
        <family val="2"/>
        <charset val="129"/>
      </rPr>
      <t xml:space="preserve">13. </t>
    </r>
    <r>
      <rPr>
        <sz val="11"/>
        <color theme="1"/>
        <rFont val="WenQuanYi Zen Hei"/>
        <family val="2"/>
      </rPr>
      <t xml:space="preserve">조합원 권익 최우선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WenQuanYi Zen Hei"/>
        <family val="2"/>
      </rPr>
      <t xml:space="preserve">할 말 하는 노동조합</t>
    </r>
  </si>
  <si>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WenQuanYi Zen Hei"/>
        <family val="2"/>
      </rPr>
      <t xml:space="preserve">대외소통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WenQuanYi Zen Hei"/>
        <family val="2"/>
      </rPr>
      <t xml:space="preserve">노동이사 협의체 운영 등 대외 이해관계자 소통활동 추진</t>
    </r>
  </si>
  <si>
    <r>
      <rPr>
        <sz val="11"/>
        <color theme="1"/>
        <rFont val="맑은 고딕"/>
        <family val="2"/>
        <charset val="129"/>
      </rPr>
      <t xml:space="preserve">= (</t>
    </r>
    <r>
      <rPr>
        <sz val="11"/>
        <color theme="1"/>
        <rFont val="WenQuanYi Zen Hei"/>
        <family val="2"/>
      </rPr>
      <t xml:space="preserve">대외</t>
    </r>
    <r>
      <rPr>
        <sz val="11"/>
        <color theme="1"/>
        <rFont val="맑은 고딕"/>
        <family val="2"/>
        <charset val="129"/>
      </rPr>
      <t xml:space="preserve">) 2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2"/>
        <charset val="129"/>
      </rPr>
      <t xml:space="preserve">×4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2"/>
        <charset val="129"/>
      </rPr>
      <t xml:space="preserve">×12</t>
    </r>
    <r>
      <rPr>
        <sz val="11"/>
        <color theme="1"/>
        <rFont val="WenQuanYi Zen Hei"/>
        <family val="2"/>
      </rPr>
      <t xml:space="preserve">개월</t>
    </r>
    <r>
      <rPr>
        <sz val="11"/>
        <color theme="1"/>
        <rFont val="맑은 고딕"/>
        <family val="2"/>
        <charset val="129"/>
      </rPr>
      <t xml:space="preserve">×30</t>
    </r>
    <r>
      <rPr>
        <sz val="11"/>
        <color theme="1"/>
        <rFont val="WenQuanYi Zen Hei"/>
        <family val="2"/>
      </rPr>
      <t xml:space="preserve">천원</t>
    </r>
  </si>
  <si>
    <r>
      <rPr>
        <sz val="11"/>
        <color theme="1"/>
        <rFont val="맑은 고딕"/>
        <family val="2"/>
        <charset val="129"/>
      </rPr>
      <t xml:space="preserve">= (</t>
    </r>
    <r>
      <rPr>
        <sz val="11"/>
        <color theme="1"/>
        <rFont val="WenQuanYi Zen Hei"/>
        <family val="2"/>
      </rPr>
      <t xml:space="preserve">외부</t>
    </r>
    <r>
      <rPr>
        <sz val="11"/>
        <color theme="1"/>
        <rFont val="맑은 고딕"/>
        <family val="2"/>
        <charset val="129"/>
      </rPr>
      <t xml:space="preserve">) 4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2"/>
        <charset val="129"/>
      </rPr>
      <t xml:space="preserve">×24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2"/>
        <charset val="129"/>
      </rPr>
      <t xml:space="preserve">×15</t>
    </r>
    <r>
      <rPr>
        <sz val="11"/>
        <color theme="1"/>
        <rFont val="WenQuanYi Zen Hei"/>
        <family val="2"/>
      </rPr>
      <t xml:space="preserve">천원</t>
    </r>
  </si>
  <si>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WenQuanYi Zen Hei"/>
        <family val="2"/>
      </rPr>
      <t xml:space="preserve">대외소통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WenQuanYi Zen Hei"/>
        <family val="2"/>
      </rPr>
      <t xml:space="preserve">국가공공기관 노동이사협의회 회비</t>
    </r>
  </si>
  <si>
    <r>
      <rPr>
        <sz val="11"/>
        <color theme="1"/>
        <rFont val="맑은 고딕"/>
        <family val="2"/>
        <charset val="129"/>
      </rPr>
      <t xml:space="preserve">= 1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2"/>
        <charset val="129"/>
      </rPr>
      <t xml:space="preserve">×360</t>
    </r>
    <r>
      <rPr>
        <sz val="11"/>
        <color theme="1"/>
        <rFont val="WenQuanYi Zen Hei"/>
        <family val="2"/>
      </rPr>
      <t xml:space="preserve">천원</t>
    </r>
  </si>
  <si>
    <t xml:space="preserve">회비 및 부담금</t>
  </si>
  <si>
    <r>
      <rPr>
        <sz val="11"/>
        <color theme="1"/>
        <rFont val="맑은 고딕"/>
        <family val="2"/>
        <charset val="129"/>
      </rPr>
      <t xml:space="preserve">= 1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2"/>
        <charset val="129"/>
      </rPr>
      <t xml:space="preserve">×600</t>
    </r>
    <r>
      <rPr>
        <sz val="11"/>
        <color theme="1"/>
        <rFont val="WenQuanYi Zen Hei"/>
        <family val="2"/>
      </rPr>
      <t xml:space="preserve">천원</t>
    </r>
  </si>
  <si>
    <t xml:space="preserve">주무부처</t>
  </si>
  <si>
    <r>
      <rPr>
        <sz val="11"/>
        <color theme="1"/>
        <rFont val="맑은 고딕"/>
        <family val="2"/>
        <charset val="129"/>
      </rPr>
      <t xml:space="preserve">13-</t>
    </r>
    <r>
      <rPr>
        <sz val="11"/>
        <color theme="1"/>
        <rFont val="WenQuanYi Zen Hei"/>
        <family val="2"/>
      </rPr>
      <t xml:space="preserve">라</t>
    </r>
    <r>
      <rPr>
        <sz val="11"/>
        <color theme="1"/>
        <rFont val="맑은 고딕"/>
        <family val="2"/>
        <charset val="129"/>
      </rPr>
      <t xml:space="preserve">-2) </t>
    </r>
    <r>
      <rPr>
        <sz val="11"/>
        <color theme="1"/>
        <rFont val="WenQuanYi Zen Hei"/>
        <family val="2"/>
      </rPr>
      <t xml:space="preserve">주무부처 관계 재정립으로 조합원 업무부담 완화</t>
    </r>
  </si>
  <si>
    <r>
      <rPr>
        <sz val="11"/>
        <color theme="1"/>
        <rFont val="맑은 고딕"/>
        <family val="2"/>
        <charset val="129"/>
      </rPr>
      <t xml:space="preserve">10-2-1. </t>
    </r>
    <r>
      <rPr>
        <sz val="11"/>
        <color theme="1"/>
        <rFont val="WenQuanYi Zen Hei"/>
        <family val="2"/>
      </rPr>
      <t xml:space="preserve">중장기 조직 및 인적자원 운영계획 수립과 추진</t>
    </r>
  </si>
  <si>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WenQuanYi Zen Hei"/>
        <family val="2"/>
      </rPr>
      <t xml:space="preserve">정부 동향 파악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WenQuanYi Zen Hei"/>
        <family val="2"/>
      </rPr>
      <t xml:space="preserve">주무부처 방문 및 협의</t>
    </r>
  </si>
  <si>
    <r>
      <rPr>
        <sz val="11"/>
        <color theme="1"/>
        <rFont val="맑은 고딕"/>
        <family val="2"/>
        <charset val="129"/>
      </rPr>
      <t xml:space="preserve">= (</t>
    </r>
    <r>
      <rPr>
        <sz val="11"/>
        <color theme="1"/>
        <rFont val="WenQuanYi Zen Hei"/>
        <family val="2"/>
      </rPr>
      <t xml:space="preserve">외부</t>
    </r>
    <r>
      <rPr>
        <sz val="11"/>
        <color theme="1"/>
        <rFont val="맑은 고딕"/>
        <family val="2"/>
        <charset val="129"/>
      </rPr>
      <t xml:space="preserve">) 4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2"/>
        <charset val="129"/>
      </rPr>
      <t xml:space="preserve">×4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2"/>
        <charset val="129"/>
      </rPr>
      <t xml:space="preserve">×30</t>
    </r>
    <r>
      <rPr>
        <sz val="11"/>
        <color theme="1"/>
        <rFont val="WenQuanYi Zen Hei"/>
        <family val="2"/>
      </rPr>
      <t xml:space="preserve">천원</t>
    </r>
  </si>
  <si>
    <r>
      <rPr>
        <sz val="11"/>
        <color theme="1"/>
        <rFont val="맑은 고딕"/>
        <family val="2"/>
        <charset val="129"/>
      </rPr>
      <t xml:space="preserve">= (</t>
    </r>
    <r>
      <rPr>
        <sz val="11"/>
        <color theme="1"/>
        <rFont val="WenQuanYi Zen Hei"/>
        <family val="2"/>
      </rPr>
      <t xml:space="preserve">외부</t>
    </r>
    <r>
      <rPr>
        <sz val="11"/>
        <color theme="1"/>
        <rFont val="맑은 고딕"/>
        <family val="2"/>
        <charset val="129"/>
      </rPr>
      <t xml:space="preserve">) 8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2"/>
        <charset val="129"/>
      </rPr>
      <t xml:space="preserve">×4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2"/>
        <charset val="129"/>
      </rPr>
      <t xml:space="preserve">×15</t>
    </r>
    <r>
      <rPr>
        <sz val="11"/>
        <color theme="1"/>
        <rFont val="WenQuanYi Zen Hei"/>
        <family val="2"/>
      </rPr>
      <t xml:space="preserve">천원</t>
    </r>
  </si>
  <si>
    <t xml:space="preserve">인력조정</t>
  </si>
  <si>
    <r>
      <rPr>
        <sz val="11"/>
        <color theme="1"/>
        <rFont val="맑은 고딕"/>
        <family val="2"/>
        <charset val="129"/>
      </rPr>
      <t xml:space="preserve">2-</t>
    </r>
    <r>
      <rPr>
        <sz val="11"/>
        <color theme="1"/>
        <rFont val="WenQuanYi Zen Hei"/>
        <family val="2"/>
      </rPr>
      <t xml:space="preserve">다</t>
    </r>
    <r>
      <rPr>
        <sz val="11"/>
        <color theme="1"/>
        <rFont val="맑은 고딕"/>
        <family val="2"/>
        <charset val="129"/>
      </rPr>
      <t xml:space="preserve">-1) </t>
    </r>
    <r>
      <rPr>
        <sz val="11"/>
        <color theme="1"/>
        <rFont val="WenQuanYi Zen Hei"/>
        <family val="2"/>
      </rPr>
      <t xml:space="preserve">직제개편 등으로 인한 미희망 전보 강력 저지</t>
    </r>
  </si>
  <si>
    <r>
      <rPr>
        <sz val="11"/>
        <color theme="1"/>
        <rFont val="맑은 고딕"/>
        <family val="2"/>
        <charset val="129"/>
      </rPr>
      <t xml:space="preserve">10-2-2. </t>
    </r>
    <r>
      <rPr>
        <sz val="11"/>
        <color theme="1"/>
        <rFont val="WenQuanYi Zen Hei"/>
        <family val="2"/>
      </rPr>
      <t xml:space="preserve">단위조직의 역할과 책임설정 및 적절한 인력배분</t>
    </r>
  </si>
  <si>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WenQuanYi Zen Hei"/>
        <family val="2"/>
      </rPr>
      <t xml:space="preserve">조직 업무 조정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WenQuanYi Zen Hei"/>
        <family val="2"/>
      </rPr>
      <t xml:space="preserve">인력 조정 및 지역사무소 협의 등</t>
    </r>
  </si>
  <si>
    <r>
      <rPr>
        <sz val="11"/>
        <color theme="1"/>
        <rFont val="맑은 고딕"/>
        <family val="2"/>
        <charset val="129"/>
      </rPr>
      <t xml:space="preserve">= (</t>
    </r>
    <r>
      <rPr>
        <sz val="11"/>
        <color theme="1"/>
        <rFont val="WenQuanYi Zen Hei"/>
        <family val="2"/>
      </rPr>
      <t xml:space="preserve">내부</t>
    </r>
    <r>
      <rPr>
        <sz val="11"/>
        <color theme="1"/>
        <rFont val="맑은 고딕"/>
        <family val="2"/>
        <charset val="129"/>
      </rPr>
      <t xml:space="preserve">) 4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2"/>
        <charset val="129"/>
      </rPr>
      <t xml:space="preserve">×28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2"/>
        <charset val="129"/>
      </rPr>
      <t xml:space="preserve">×5</t>
    </r>
    <r>
      <rPr>
        <sz val="11"/>
        <color theme="1"/>
        <rFont val="WenQuanYi Zen Hei"/>
        <family val="2"/>
      </rPr>
      <t xml:space="preserve">천원</t>
    </r>
  </si>
  <si>
    <r>
      <rPr>
        <sz val="11"/>
        <color theme="1"/>
        <rFont val="맑은 고딕"/>
        <family val="2"/>
        <charset val="129"/>
      </rPr>
      <t xml:space="preserve">= (</t>
    </r>
    <r>
      <rPr>
        <sz val="11"/>
        <color theme="1"/>
        <rFont val="WenQuanYi Zen Hei"/>
        <family val="2"/>
      </rPr>
      <t xml:space="preserve">내부</t>
    </r>
    <r>
      <rPr>
        <sz val="11"/>
        <color theme="1"/>
        <rFont val="맑은 고딕"/>
        <family val="2"/>
        <charset val="129"/>
      </rPr>
      <t xml:space="preserve">) 7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2"/>
        <charset val="129"/>
      </rPr>
      <t xml:space="preserve">×8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2"/>
        <charset val="129"/>
      </rPr>
      <t xml:space="preserve">×10</t>
    </r>
    <r>
      <rPr>
        <sz val="11"/>
        <color theme="1"/>
        <rFont val="WenQuanYi Zen Hei"/>
        <family val="2"/>
      </rPr>
      <t xml:space="preserve">천원</t>
    </r>
  </si>
  <si>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WenQuanYi Zen Hei"/>
        <family val="2"/>
      </rPr>
      <t xml:space="preserve">조직 개편 추진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WenQuanYi Zen Hei"/>
        <family val="2"/>
      </rPr>
      <t xml:space="preserve">조직개편 관련 지역사무소 협의 등 여비</t>
    </r>
  </si>
  <si>
    <r>
      <rPr>
        <sz val="11"/>
        <color theme="1"/>
        <rFont val="맑은 고딕"/>
        <family val="2"/>
        <charset val="129"/>
      </rPr>
      <t xml:space="preserve">= (</t>
    </r>
    <r>
      <rPr>
        <sz val="11"/>
        <color theme="1"/>
        <rFont val="WenQuanYi Zen Hei"/>
        <family val="2"/>
      </rPr>
      <t xml:space="preserve">전국평균</t>
    </r>
    <r>
      <rPr>
        <sz val="11"/>
        <color theme="1"/>
        <rFont val="맑은 고딕"/>
        <family val="2"/>
        <charset val="129"/>
      </rPr>
      <t xml:space="preserve">) 2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2"/>
        <charset val="129"/>
      </rPr>
      <t xml:space="preserve">×2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2"/>
        <charset val="129"/>
      </rPr>
      <t xml:space="preserve">×175</t>
    </r>
    <r>
      <rPr>
        <sz val="11"/>
        <color theme="1"/>
        <rFont val="WenQuanYi Zen Hei"/>
        <family val="2"/>
      </rPr>
      <t xml:space="preserve">천원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WenQuanYi Zen Hei"/>
        <family val="2"/>
      </rPr>
      <t xml:space="preserve">운임 </t>
    </r>
    <r>
      <rPr>
        <sz val="11"/>
        <color theme="1"/>
        <rFont val="맑은 고딕"/>
        <family val="2"/>
        <charset val="129"/>
      </rPr>
      <t xml:space="preserve">50+</t>
    </r>
    <r>
      <rPr>
        <sz val="11"/>
        <color theme="1"/>
        <rFont val="WenQuanYi Zen Hei"/>
        <family val="2"/>
      </rPr>
      <t xml:space="preserve">일비 </t>
    </r>
    <r>
      <rPr>
        <sz val="11"/>
        <color theme="1"/>
        <rFont val="맑은 고딕"/>
        <family val="2"/>
        <charset val="129"/>
      </rPr>
      <t xml:space="preserve">30+</t>
    </r>
    <r>
      <rPr>
        <sz val="11"/>
        <color theme="1"/>
        <rFont val="WenQuanYi Zen Hei"/>
        <family val="2"/>
      </rPr>
      <t xml:space="preserve">식비 </t>
    </r>
    <r>
      <rPr>
        <sz val="11"/>
        <color theme="1"/>
        <rFont val="맑은 고딕"/>
        <family val="2"/>
        <charset val="129"/>
      </rPr>
      <t xml:space="preserve">25+</t>
    </r>
    <r>
      <rPr>
        <sz val="11"/>
        <color theme="1"/>
        <rFont val="WenQuanYi Zen Hei"/>
        <family val="2"/>
      </rPr>
      <t xml:space="preserve">숙박 </t>
    </r>
    <r>
      <rPr>
        <sz val="11"/>
        <color theme="1"/>
        <rFont val="맑은 고딕"/>
        <family val="2"/>
        <charset val="129"/>
      </rPr>
      <t xml:space="preserve">70)</t>
    </r>
  </si>
  <si>
    <r>
      <rPr>
        <sz val="11"/>
        <color theme="1"/>
        <rFont val="맑은 고딕"/>
        <family val="2"/>
        <charset val="129"/>
      </rPr>
      <t xml:space="preserve">10-3-1. </t>
    </r>
    <r>
      <rPr>
        <sz val="11"/>
        <color theme="1"/>
        <rFont val="WenQuanYi Zen Hei"/>
        <family val="2"/>
      </rPr>
      <t xml:space="preserve">사업계획 관리 및 예산운용</t>
    </r>
  </si>
  <si>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WenQuanYi Zen Hei"/>
        <family val="2"/>
      </rPr>
      <t xml:space="preserve">예산운용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WenQuanYi Zen Hei"/>
        <family val="2"/>
      </rPr>
      <t xml:space="preserve">경영효율화 공모전 포상비</t>
    </r>
  </si>
  <si>
    <r>
      <rPr>
        <sz val="11"/>
        <color theme="1"/>
        <rFont val="맑은 고딕"/>
        <family val="2"/>
        <charset val="129"/>
      </rPr>
      <t xml:space="preserve">= 1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2"/>
        <charset val="129"/>
      </rPr>
      <t xml:space="preserve">×4,000</t>
    </r>
    <r>
      <rPr>
        <sz val="11"/>
        <color theme="1"/>
        <rFont val="WenQuanYi Zen Hei"/>
        <family val="2"/>
      </rPr>
      <t xml:space="preserve">천원</t>
    </r>
  </si>
  <si>
    <r>
      <rPr>
        <sz val="11"/>
        <color theme="1"/>
        <rFont val="맑은 고딕"/>
        <family val="2"/>
        <charset val="129"/>
      </rPr>
      <t xml:space="preserve">= 1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2"/>
        <charset val="129"/>
      </rPr>
      <t xml:space="preserve">×2,000</t>
    </r>
    <r>
      <rPr>
        <sz val="11"/>
        <color theme="1"/>
        <rFont val="WenQuanYi Zen Hei"/>
        <family val="2"/>
      </rPr>
      <t xml:space="preserve">천원</t>
    </r>
  </si>
  <si>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WenQuanYi Zen Hei"/>
        <family val="2"/>
      </rPr>
      <t xml:space="preserve">예산운용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WenQuanYi Zen Hei"/>
        <family val="2"/>
      </rPr>
      <t xml:space="preserve">경영효율화 공모전 심사 외부위원 수당</t>
    </r>
  </si>
  <si>
    <r>
      <rPr>
        <sz val="11"/>
        <color theme="1"/>
        <rFont val="맑은 고딕"/>
        <family val="2"/>
        <charset val="129"/>
      </rPr>
      <t xml:space="preserve">= 2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2"/>
        <charset val="129"/>
      </rPr>
      <t xml:space="preserve">×2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2"/>
        <charset val="129"/>
      </rPr>
      <t xml:space="preserve">×200</t>
    </r>
    <r>
      <rPr>
        <sz val="11"/>
        <color theme="1"/>
        <rFont val="WenQuanYi Zen Hei"/>
        <family val="2"/>
      </rPr>
      <t xml:space="preserve">천원</t>
    </r>
  </si>
  <si>
    <t xml:space="preserve">부서운영비</t>
  </si>
  <si>
    <r>
      <rPr>
        <sz val="11"/>
        <color theme="1"/>
        <rFont val="맑은 고딕"/>
        <family val="2"/>
        <charset val="129"/>
      </rPr>
      <t xml:space="preserve">10-3-1. </t>
    </r>
    <r>
      <rPr>
        <sz val="11"/>
        <color theme="1"/>
        <rFont val="WenQuanYi Zen Hei"/>
        <family val="2"/>
      </rPr>
      <t xml:space="preserve">사업계획 관리 및 예산운용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WenQuanYi Zen Hei"/>
        <family val="2"/>
      </rPr>
      <t xml:space="preserve">공통비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</si>
  <si>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WenQuanYi Zen Hei"/>
        <family val="2"/>
      </rPr>
      <t xml:space="preserve">예산운용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WenQuanYi Zen Hei"/>
        <family val="2"/>
      </rPr>
      <t xml:space="preserve">부서별 부서운영비 배정 및 집행</t>
    </r>
  </si>
  <si>
    <r>
      <rPr>
        <sz val="11"/>
        <color theme="1"/>
        <rFont val="맑은 고딕"/>
        <family val="2"/>
        <charset val="129"/>
      </rPr>
      <t xml:space="preserve">= (</t>
    </r>
    <r>
      <rPr>
        <sz val="11"/>
        <color theme="1"/>
        <rFont val="WenQuanYi Zen Hei"/>
        <family val="2"/>
      </rPr>
      <t xml:space="preserve">부서운영비</t>
    </r>
    <r>
      <rPr>
        <sz val="11"/>
        <color theme="1"/>
        <rFont val="맑은 고딕"/>
        <family val="2"/>
        <charset val="129"/>
      </rPr>
      <t xml:space="preserve">) 1</t>
    </r>
    <r>
      <rPr>
        <sz val="11"/>
        <color theme="1"/>
        <rFont val="WenQuanYi Zen Hei"/>
        <family val="2"/>
      </rPr>
      <t xml:space="preserve">식 </t>
    </r>
    <r>
      <rPr>
        <sz val="11"/>
        <color theme="1"/>
        <rFont val="맑은 고딕"/>
        <family val="2"/>
        <charset val="129"/>
      </rPr>
      <t xml:space="preserve">× 670,108</t>
    </r>
    <r>
      <rPr>
        <sz val="11"/>
        <color theme="1"/>
        <rFont val="WenQuanYi Zen Hei"/>
        <family val="2"/>
      </rPr>
      <t xml:space="preserve">천원</t>
    </r>
  </si>
  <si>
    <r>
      <rPr>
        <sz val="11"/>
        <color theme="1"/>
        <rFont val="맑은 고딕"/>
        <family val="2"/>
        <charset val="129"/>
      </rPr>
      <t xml:space="preserve">=1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2"/>
        <charset val="129"/>
      </rPr>
      <t xml:space="preserve">×670,108</t>
    </r>
    <r>
      <rPr>
        <sz val="11"/>
        <color theme="1"/>
        <rFont val="WenQuanYi Zen Hei"/>
        <family val="2"/>
      </rPr>
      <t xml:space="preserve">천원</t>
    </r>
  </si>
  <si>
    <t xml:space="preserve">통신보조비</t>
  </si>
  <si>
    <r>
      <rPr>
        <sz val="11"/>
        <color theme="1"/>
        <rFont val="맑은 고딕"/>
        <family val="2"/>
        <charset val="129"/>
      </rPr>
      <t xml:space="preserve">3-</t>
    </r>
    <r>
      <rPr>
        <sz val="11"/>
        <color theme="1"/>
        <rFont val="WenQuanYi Zen Hei"/>
        <family val="2"/>
      </rPr>
      <t xml:space="preserve">가</t>
    </r>
    <r>
      <rPr>
        <sz val="11"/>
        <color theme="1"/>
        <rFont val="맑은 고딕"/>
        <family val="2"/>
        <charset val="129"/>
      </rPr>
      <t xml:space="preserve">-3) </t>
    </r>
    <r>
      <rPr>
        <sz val="11"/>
        <color theme="1"/>
        <rFont val="WenQuanYi Zen Hei"/>
        <family val="2"/>
      </rPr>
      <t xml:space="preserve">통신비 현실화 </t>
    </r>
    <r>
      <rPr>
        <sz val="11"/>
        <color theme="1"/>
        <rFont val="맑은 고딕"/>
        <family val="2"/>
        <charset val="129"/>
      </rPr>
      <t xml:space="preserve">3.5</t>
    </r>
    <r>
      <rPr>
        <sz val="11"/>
        <color theme="1"/>
        <rFont val="WenQuanYi Zen Hei"/>
        <family val="2"/>
      </rPr>
      <t xml:space="preserve">만원 → </t>
    </r>
    <r>
      <rPr>
        <sz val="11"/>
        <color theme="1"/>
        <rFont val="맑은 고딕"/>
        <family val="2"/>
        <charset val="129"/>
      </rPr>
      <t xml:space="preserve">5</t>
    </r>
    <r>
      <rPr>
        <sz val="11"/>
        <color theme="1"/>
        <rFont val="WenQuanYi Zen Hei"/>
        <family val="2"/>
      </rPr>
      <t xml:space="preserve">만원 인상</t>
    </r>
  </si>
  <si>
    <t xml:space="preserve">업무통신보조비</t>
  </si>
  <si>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WenQuanYi Zen Hei"/>
        <family val="2"/>
      </rPr>
      <t xml:space="preserve">예산운용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WenQuanYi Zen Hei"/>
        <family val="2"/>
      </rPr>
      <t xml:space="preserve">사업부서 업무통신보조비 배정 및 집행</t>
    </r>
  </si>
  <si>
    <r>
      <rPr>
        <sz val="11"/>
        <color theme="1"/>
        <rFont val="맑은 고딕"/>
        <family val="2"/>
        <charset val="129"/>
      </rPr>
      <t xml:space="preserve">= (</t>
    </r>
    <r>
      <rPr>
        <sz val="11"/>
        <color theme="1"/>
        <rFont val="WenQuanYi Zen Hei"/>
        <family val="2"/>
      </rPr>
      <t xml:space="preserve">업무통신보조비</t>
    </r>
    <r>
      <rPr>
        <sz val="11"/>
        <color theme="1"/>
        <rFont val="맑은 고딕"/>
        <family val="2"/>
        <charset val="129"/>
      </rPr>
      <t xml:space="preserve">) 1</t>
    </r>
    <r>
      <rPr>
        <sz val="11"/>
        <color theme="1"/>
        <rFont val="WenQuanYi Zen Hei"/>
        <family val="2"/>
      </rPr>
      <t xml:space="preserve">식 </t>
    </r>
    <r>
      <rPr>
        <sz val="11"/>
        <color theme="1"/>
        <rFont val="맑은 고딕"/>
        <family val="2"/>
        <charset val="129"/>
      </rPr>
      <t xml:space="preserve">x 63,084</t>
    </r>
    <r>
      <rPr>
        <sz val="11"/>
        <color theme="1"/>
        <rFont val="WenQuanYi Zen Hei"/>
        <family val="2"/>
      </rPr>
      <t xml:space="preserve">천원</t>
    </r>
  </si>
  <si>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WenQuanYi Zen Hei"/>
        <family val="2"/>
      </rPr>
      <t xml:space="preserve">예산운용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WenQuanYi Zen Hei"/>
        <family val="2"/>
      </rPr>
      <t xml:space="preserve">부서별 업무통신보조비 배정 및 집행</t>
    </r>
  </si>
  <si>
    <r>
      <rPr>
        <sz val="11"/>
        <color theme="1"/>
        <rFont val="맑은 고딕"/>
        <family val="2"/>
        <charset val="129"/>
      </rPr>
      <t xml:space="preserve">=1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2"/>
        <charset val="129"/>
      </rPr>
      <t xml:space="preserve">×98,084</t>
    </r>
    <r>
      <rPr>
        <sz val="11"/>
        <color theme="1"/>
        <rFont val="WenQuanYi Zen Hei"/>
        <family val="2"/>
      </rPr>
      <t xml:space="preserve">천원</t>
    </r>
  </si>
  <si>
    <t xml:space="preserve">소모품비</t>
  </si>
  <si>
    <t xml:space="preserve">소모품비(일반)</t>
  </si>
  <si>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WenQuanYi Zen Hei"/>
        <family val="2"/>
      </rPr>
      <t xml:space="preserve">예산운용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WenQuanYi Zen Hei"/>
        <family val="2"/>
      </rPr>
      <t xml:space="preserve">부서별 소모품비 배정 및 집행</t>
    </r>
  </si>
  <si>
    <r>
      <rPr>
        <sz val="11"/>
        <color theme="1"/>
        <rFont val="맑은 고딕"/>
        <family val="2"/>
        <charset val="129"/>
      </rPr>
      <t xml:space="preserve">= (</t>
    </r>
    <r>
      <rPr>
        <sz val="11"/>
        <color theme="1"/>
        <rFont val="WenQuanYi Zen Hei"/>
        <family val="2"/>
      </rPr>
      <t xml:space="preserve">소모품비</t>
    </r>
    <r>
      <rPr>
        <sz val="11"/>
        <color theme="1"/>
        <rFont val="맑은 고딕"/>
        <family val="2"/>
        <charset val="129"/>
      </rPr>
      <t xml:space="preserve">) 5</t>
    </r>
    <r>
      <rPr>
        <sz val="11"/>
        <color theme="1"/>
        <rFont val="WenQuanYi Zen Hei"/>
        <family val="2"/>
      </rPr>
      <t xml:space="preserve">천원 </t>
    </r>
    <r>
      <rPr>
        <sz val="11"/>
        <color theme="1"/>
        <rFont val="맑은 고딕"/>
        <family val="2"/>
        <charset val="129"/>
      </rPr>
      <t xml:space="preserve">× 300</t>
    </r>
    <r>
      <rPr>
        <sz val="11"/>
        <color theme="1"/>
        <rFont val="WenQuanYi Zen Hei"/>
        <family val="2"/>
      </rPr>
      <t xml:space="preserve">명 </t>
    </r>
    <r>
      <rPr>
        <sz val="11"/>
        <color theme="1"/>
        <rFont val="맑은 고딕"/>
        <family val="2"/>
        <charset val="129"/>
      </rPr>
      <t xml:space="preserve">× 12</t>
    </r>
    <r>
      <rPr>
        <sz val="11"/>
        <color theme="1"/>
        <rFont val="WenQuanYi Zen Hei"/>
        <family val="2"/>
      </rPr>
      <t xml:space="preserve">개월</t>
    </r>
  </si>
  <si>
    <r>
      <rPr>
        <sz val="11"/>
        <color theme="1"/>
        <rFont val="맑은 고딕"/>
        <family val="2"/>
        <charset val="129"/>
      </rPr>
      <t xml:space="preserve">=300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2"/>
        <charset val="129"/>
      </rPr>
      <t xml:space="preserve">×12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2"/>
        <charset val="129"/>
      </rPr>
      <t xml:space="preserve">×5</t>
    </r>
    <r>
      <rPr>
        <sz val="11"/>
        <color theme="1"/>
        <rFont val="WenQuanYi Zen Hei"/>
        <family val="2"/>
      </rPr>
      <t xml:space="preserve">천원</t>
    </r>
  </si>
  <si>
    <t xml:space="preserve">답례품</t>
  </si>
  <si>
    <r>
      <rPr>
        <sz val="11"/>
        <color theme="1"/>
        <rFont val="맑은 고딕"/>
        <family val="2"/>
        <charset val="129"/>
      </rPr>
      <t xml:space="preserve">12-4-4. </t>
    </r>
    <r>
      <rPr>
        <sz val="11"/>
        <color theme="1"/>
        <rFont val="WenQuanYi Zen Hei"/>
        <family val="2"/>
      </rPr>
      <t xml:space="preserve">경영진 주도 현장밀착 소통 채널 운영</t>
    </r>
  </si>
  <si>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WenQuanYi Zen Hei"/>
        <family val="2"/>
      </rPr>
      <t xml:space="preserve">대외 경영활동 지원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WenQuanYi Zen Hei"/>
        <family val="2"/>
      </rPr>
      <t xml:space="preserve">공단 방문 외빈 답례품 등 제작</t>
    </r>
  </si>
  <si>
    <r>
      <rPr>
        <sz val="11"/>
        <color theme="1"/>
        <rFont val="맑은 고딕"/>
        <family val="2"/>
        <charset val="129"/>
      </rPr>
      <t xml:space="preserve">= 280</t>
    </r>
    <r>
      <rPr>
        <sz val="11"/>
        <color theme="1"/>
        <rFont val="WenQuanYi Zen Hei"/>
        <family val="2"/>
      </rPr>
      <t xml:space="preserve">개</t>
    </r>
    <r>
      <rPr>
        <sz val="11"/>
        <color theme="1"/>
        <rFont val="맑은 고딕"/>
        <family val="2"/>
        <charset val="129"/>
      </rPr>
      <t xml:space="preserve">×25</t>
    </r>
    <r>
      <rPr>
        <sz val="11"/>
        <color theme="1"/>
        <rFont val="WenQuanYi Zen Hei"/>
        <family val="2"/>
      </rPr>
      <t xml:space="preserve">천원</t>
    </r>
  </si>
  <si>
    <r>
      <rPr>
        <sz val="11"/>
        <color theme="1"/>
        <rFont val="맑은 고딕"/>
        <family val="2"/>
        <charset val="129"/>
      </rPr>
      <t xml:space="preserve">3-2-4. </t>
    </r>
    <r>
      <rPr>
        <sz val="11"/>
        <color theme="1"/>
        <rFont val="WenQuanYi Zen Hei"/>
        <family val="2"/>
      </rPr>
      <t xml:space="preserve">법정검사 안정적 수행 및 지역사무소 운영관리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WenQuanYi Zen Hei"/>
        <family val="2"/>
      </rPr>
      <t xml:space="preserve">공통비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</si>
  <si>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WenQuanYi Zen Hei"/>
        <family val="2"/>
      </rPr>
      <t xml:space="preserve">예산운용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WenQuanYi Zen Hei"/>
        <family val="2"/>
      </rPr>
      <t xml:space="preserve">지역사무소 인원증가 및 인상분 대응</t>
    </r>
  </si>
  <si>
    <r>
      <rPr>
        <sz val="11"/>
        <color theme="1"/>
        <rFont val="맑은 고딕"/>
        <family val="2"/>
        <charset val="129"/>
      </rPr>
      <t xml:space="preserve">= 100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2"/>
        <charset val="129"/>
      </rPr>
      <t xml:space="preserve">×6</t>
    </r>
    <r>
      <rPr>
        <sz val="11"/>
        <color theme="1"/>
        <rFont val="WenQuanYi Zen Hei"/>
        <family val="2"/>
      </rPr>
      <t xml:space="preserve">월</t>
    </r>
    <r>
      <rPr>
        <sz val="11"/>
        <color theme="1"/>
        <rFont val="맑은 고딕"/>
        <family val="2"/>
        <charset val="129"/>
      </rPr>
      <t xml:space="preserve">×35</t>
    </r>
    <r>
      <rPr>
        <sz val="11"/>
        <color theme="1"/>
        <rFont val="WenQuanYi Zen Hei"/>
        <family val="2"/>
      </rPr>
      <t xml:space="preserve">천원</t>
    </r>
  </si>
  <si>
    <t xml:space="preserve">행정업무분장</t>
  </si>
  <si>
    <r>
      <rPr>
        <sz val="11"/>
        <color theme="1"/>
        <rFont val="맑은 고딕"/>
        <family val="2"/>
        <charset val="129"/>
      </rPr>
      <t xml:space="preserve">8-</t>
    </r>
    <r>
      <rPr>
        <sz val="11"/>
        <color theme="1"/>
        <rFont val="WenQuanYi Zen Hei"/>
        <family val="2"/>
      </rPr>
      <t xml:space="preserve">다</t>
    </r>
    <r>
      <rPr>
        <sz val="11"/>
        <color theme="1"/>
        <rFont val="맑은 고딕"/>
        <family val="2"/>
        <charset val="129"/>
      </rPr>
      <t xml:space="preserve">-2) </t>
    </r>
    <r>
      <rPr>
        <sz val="11"/>
        <color theme="1"/>
        <rFont val="WenQuanYi Zen Hei"/>
        <family val="2"/>
      </rPr>
      <t xml:space="preserve">지사 행정업무 분장 명확화</t>
    </r>
  </si>
  <si>
    <t xml:space="preserve">지사 행정업무 분장 관련 용역비 및 회의비, 일반여비</t>
  </si>
  <si>
    <t xml:space="preserve">스마트워크</t>
  </si>
  <si>
    <r>
      <rPr>
        <sz val="11"/>
        <color theme="1"/>
        <rFont val="맑은 고딕"/>
        <family val="2"/>
        <charset val="129"/>
      </rPr>
      <t xml:space="preserve">6-</t>
    </r>
    <r>
      <rPr>
        <sz val="11"/>
        <color theme="1"/>
        <rFont val="WenQuanYi Zen Hei"/>
        <family val="2"/>
      </rPr>
      <t xml:space="preserve">가</t>
    </r>
    <r>
      <rPr>
        <sz val="11"/>
        <color theme="1"/>
        <rFont val="맑은 고딕"/>
        <family val="2"/>
        <charset val="129"/>
      </rPr>
      <t xml:space="preserve">-1) </t>
    </r>
    <r>
      <rPr>
        <sz val="11"/>
        <color theme="1"/>
        <rFont val="WenQuanYi Zen Hei"/>
        <family val="2"/>
      </rPr>
      <t xml:space="preserve">스마트워크 표준모델 전 지사 확대 적용</t>
    </r>
  </si>
  <si>
    <t xml:space="preserve">스마트워크 전면자율화 관련 용역비 및 회의비, 일반여비</t>
  </si>
  <si>
    <t xml:space="preserve">단말기통신료</t>
  </si>
  <si>
    <r>
      <rPr>
        <sz val="11"/>
        <color theme="1"/>
        <rFont val="맑은 고딕"/>
        <family val="2"/>
        <charset val="129"/>
      </rPr>
      <t xml:space="preserve">2-2-2. </t>
    </r>
    <r>
      <rPr>
        <sz val="11"/>
        <color theme="1"/>
        <rFont val="WenQuanYi Zen Hei"/>
        <family val="2"/>
      </rPr>
      <t xml:space="preserve">노무총무실</t>
    </r>
  </si>
  <si>
    <r>
      <rPr>
        <sz val="11"/>
        <color theme="1"/>
        <rFont val="맑은 고딕"/>
        <family val="2"/>
        <charset val="129"/>
      </rPr>
      <t xml:space="preserve">11-2-1. </t>
    </r>
    <r>
      <rPr>
        <sz val="11"/>
        <color theme="1"/>
        <rFont val="WenQuanYi Zen Hei"/>
        <family val="2"/>
      </rPr>
      <t xml:space="preserve">온실가스 감축을 위한 탄소중립 사업장 실현</t>
    </r>
  </si>
  <si>
    <t xml:space="preserve">검사통신료</t>
  </si>
  <si>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WenQuanYi Zen Hei"/>
        <family val="2"/>
      </rPr>
      <t xml:space="preserve">단말기 운용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WenQuanYi Zen Hei"/>
        <family val="2"/>
      </rPr>
      <t xml:space="preserve">임직원 스마트 단말기 통신료</t>
    </r>
  </si>
  <si>
    <r>
      <rPr>
        <sz val="11"/>
        <color theme="1"/>
        <rFont val="맑은 고딕"/>
        <family val="2"/>
        <charset val="129"/>
      </rPr>
      <t xml:space="preserve">= 1,720</t>
    </r>
    <r>
      <rPr>
        <sz val="11"/>
        <color theme="1"/>
        <rFont val="WenQuanYi Zen Hei"/>
        <family val="2"/>
      </rPr>
      <t xml:space="preserve">대</t>
    </r>
    <r>
      <rPr>
        <sz val="11"/>
        <color theme="1"/>
        <rFont val="맑은 고딕"/>
        <family val="2"/>
        <charset val="129"/>
      </rPr>
      <t xml:space="preserve">×12</t>
    </r>
    <r>
      <rPr>
        <sz val="11"/>
        <color theme="1"/>
        <rFont val="WenQuanYi Zen Hei"/>
        <family val="2"/>
      </rPr>
      <t xml:space="preserve">월</t>
    </r>
    <r>
      <rPr>
        <sz val="11"/>
        <color theme="1"/>
        <rFont val="맑은 고딕"/>
        <family val="2"/>
        <charset val="129"/>
      </rPr>
      <t xml:space="preserve">×37</t>
    </r>
    <r>
      <rPr>
        <sz val="11"/>
        <color theme="1"/>
        <rFont val="WenQuanYi Zen Hei"/>
        <family val="2"/>
      </rPr>
      <t xml:space="preserve">천원</t>
    </r>
  </si>
  <si>
    <r>
      <rPr>
        <sz val="11"/>
        <color theme="1"/>
        <rFont val="맑은 고딕"/>
        <family val="2"/>
        <charset val="129"/>
      </rPr>
      <t xml:space="preserve">= 1,720</t>
    </r>
    <r>
      <rPr>
        <sz val="11"/>
        <color theme="1"/>
        <rFont val="WenQuanYi Zen Hei"/>
        <family val="2"/>
      </rPr>
      <t xml:space="preserve">대</t>
    </r>
    <r>
      <rPr>
        <sz val="11"/>
        <color theme="1"/>
        <rFont val="맑은 고딕"/>
        <family val="2"/>
        <charset val="129"/>
      </rPr>
      <t xml:space="preserve">×12</t>
    </r>
    <r>
      <rPr>
        <sz val="11"/>
        <color theme="1"/>
        <rFont val="WenQuanYi Zen Hei"/>
        <family val="2"/>
      </rPr>
      <t xml:space="preserve">월</t>
    </r>
    <r>
      <rPr>
        <sz val="11"/>
        <color theme="1"/>
        <rFont val="맑은 고딕"/>
        <family val="2"/>
        <charset val="129"/>
      </rPr>
      <t xml:space="preserve">×77</t>
    </r>
    <r>
      <rPr>
        <sz val="11"/>
        <color theme="1"/>
        <rFont val="WenQuanYi Zen Hei"/>
        <family val="2"/>
      </rPr>
      <t xml:space="preserve">천원</t>
    </r>
  </si>
  <si>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WenQuanYi Zen Hei"/>
        <family val="2"/>
      </rPr>
      <t xml:space="preserve">특수상황</t>
    </r>
    <r>
      <rPr>
        <sz val="11"/>
        <color theme="1"/>
        <rFont val="맑은 고딕"/>
        <family val="2"/>
        <charset val="129"/>
      </rPr>
      <t xml:space="preserve">_</t>
    </r>
    <r>
      <rPr>
        <sz val="11"/>
        <color theme="1"/>
        <rFont val="WenQuanYi Zen Hei"/>
        <family val="2"/>
      </rPr>
      <t xml:space="preserve">증가</t>
    </r>
    <r>
      <rPr>
        <sz val="11"/>
        <color theme="1"/>
        <rFont val="맑은 고딕"/>
        <family val="2"/>
        <charset val="129"/>
      </rPr>
      <t xml:space="preserve">)AI </t>
    </r>
    <r>
      <rPr>
        <sz val="11"/>
        <color theme="1"/>
        <rFont val="WenQuanYi Zen Hei"/>
        <family val="2"/>
      </rPr>
      <t xml:space="preserve">전환시대 메모리 가격 인상에 따른 단말기 신규 임차료 증가</t>
    </r>
  </si>
  <si>
    <t xml:space="preserve">검사복</t>
  </si>
  <si>
    <r>
      <rPr>
        <sz val="11"/>
        <color theme="1"/>
        <rFont val="맑은 고딕"/>
        <family val="2"/>
        <charset val="129"/>
      </rPr>
      <t xml:space="preserve">11-4-1. </t>
    </r>
    <r>
      <rPr>
        <sz val="11"/>
        <color theme="1"/>
        <rFont val="WenQuanYi Zen Hei"/>
        <family val="2"/>
      </rPr>
      <t xml:space="preserve">정부 지침을 준수한 복리후생제도 운영</t>
    </r>
  </si>
  <si>
    <t xml:space="preserve">피복비</t>
  </si>
  <si>
    <t xml:space="preserve">검사복 지급</t>
  </si>
  <si>
    <r>
      <rPr>
        <sz val="11"/>
        <color theme="1"/>
        <rFont val="맑은 고딕"/>
        <family val="2"/>
        <charset val="129"/>
      </rPr>
      <t xml:space="preserve">'25</t>
    </r>
    <r>
      <rPr>
        <sz val="11"/>
        <color theme="1"/>
        <rFont val="WenQuanYi Zen Hei"/>
        <family val="2"/>
      </rPr>
      <t xml:space="preserve">년</t>
    </r>
    <r>
      <rPr>
        <sz val="11"/>
        <color theme="1"/>
        <rFont val="맑은 고딕"/>
        <family val="2"/>
        <charset val="129"/>
      </rPr>
      <t xml:space="preserve">~'26</t>
    </r>
    <r>
      <rPr>
        <sz val="11"/>
        <color theme="1"/>
        <rFont val="WenQuanYi Zen Hei"/>
        <family val="2"/>
      </rPr>
      <t xml:space="preserve">년 다년계약에 의한 잔금 지급</t>
    </r>
  </si>
  <si>
    <r>
      <rPr>
        <sz val="11"/>
        <color theme="1"/>
        <rFont val="맑은 고딕"/>
        <family val="2"/>
        <charset val="129"/>
      </rPr>
      <t xml:space="preserve">= 1,500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2"/>
        <charset val="129"/>
      </rPr>
      <t xml:space="preserve">×350</t>
    </r>
    <r>
      <rPr>
        <sz val="11"/>
        <color theme="1"/>
        <rFont val="WenQuanYi Zen Hei"/>
        <family val="2"/>
      </rPr>
      <t xml:space="preserve">천원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WenQuanYi Zen Hei"/>
        <family val="2"/>
      </rPr>
      <t xml:space="preserve">신입사원 미반영</t>
    </r>
    <r>
      <rPr>
        <sz val="11"/>
        <color theme="1"/>
        <rFont val="맑은 고딕"/>
        <family val="2"/>
        <charset val="129"/>
      </rPr>
      <t xml:space="preserve">)</t>
    </r>
  </si>
  <si>
    <t xml:space="preserve">업무용차량</t>
  </si>
  <si>
    <r>
      <rPr>
        <sz val="11"/>
        <color theme="1"/>
        <rFont val="맑은 고딕"/>
        <family val="2"/>
        <charset val="129"/>
      </rPr>
      <t xml:space="preserve">14-</t>
    </r>
    <r>
      <rPr>
        <sz val="11"/>
        <color theme="1"/>
        <rFont val="WenQuanYi Zen Hei"/>
        <family val="2"/>
      </rPr>
      <t xml:space="preserve">가</t>
    </r>
    <r>
      <rPr>
        <sz val="11"/>
        <color theme="1"/>
        <rFont val="맑은 고딕"/>
        <family val="2"/>
        <charset val="129"/>
      </rPr>
      <t xml:space="preserve">. </t>
    </r>
    <r>
      <rPr>
        <sz val="11"/>
        <color theme="1"/>
        <rFont val="WenQuanYi Zen Hei"/>
        <family val="2"/>
      </rPr>
      <t xml:space="preserve">위원장 전용차량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WenQuanYi Zen Hei"/>
        <family val="2"/>
      </rPr>
      <t xml:space="preserve">렌트비 월 약</t>
    </r>
    <r>
      <rPr>
        <sz val="11"/>
        <color theme="1"/>
        <rFont val="맑은 고딕"/>
        <family val="2"/>
        <charset val="129"/>
      </rPr>
      <t xml:space="preserve">100</t>
    </r>
    <r>
      <rPr>
        <sz val="11"/>
        <color theme="1"/>
        <rFont val="WenQuanYi Zen Hei"/>
        <family val="2"/>
      </rPr>
      <t xml:space="preserve">만원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WenQuanYi Zen Hei"/>
        <family val="2"/>
      </rPr>
      <t xml:space="preserve">폐지</t>
    </r>
  </si>
  <si>
    <t xml:space="preserve">임차료</t>
  </si>
  <si>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WenQuanYi Zen Hei"/>
        <family val="2"/>
      </rPr>
      <t xml:space="preserve">친환경 수송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WenQuanYi Zen Hei"/>
        <family val="2"/>
      </rPr>
      <t xml:space="preserve">친환경 업무용 차량 임차료</t>
    </r>
  </si>
  <si>
    <r>
      <rPr>
        <sz val="11"/>
        <color theme="1"/>
        <rFont val="맑은 고딕"/>
        <family val="2"/>
        <charset val="129"/>
      </rPr>
      <t xml:space="preserve">= (</t>
    </r>
    <r>
      <rPr>
        <sz val="11"/>
        <color theme="1"/>
        <rFont val="WenQuanYi Zen Hei"/>
        <family val="2"/>
      </rPr>
      <t xml:space="preserve">업무용 차량</t>
    </r>
    <r>
      <rPr>
        <sz val="11"/>
        <color theme="1"/>
        <rFont val="맑은 고딕"/>
        <family val="2"/>
        <charset val="129"/>
      </rPr>
      <t xml:space="preserve">) 24</t>
    </r>
    <r>
      <rPr>
        <sz val="11"/>
        <color theme="1"/>
        <rFont val="WenQuanYi Zen Hei"/>
        <family val="2"/>
      </rPr>
      <t xml:space="preserve">대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WenQuanYi Zen Hei"/>
        <family val="2"/>
      </rPr>
      <t xml:space="preserve">본부</t>
    </r>
    <r>
      <rPr>
        <sz val="11"/>
        <color theme="1"/>
        <rFont val="맑은 고딕"/>
        <family val="2"/>
        <charset val="129"/>
      </rPr>
      <t xml:space="preserve">16</t>
    </r>
    <r>
      <rPr>
        <sz val="11"/>
        <color theme="1"/>
        <rFont val="WenQuanYi Zen Hei"/>
        <family val="2"/>
      </rPr>
      <t xml:space="preserve">대</t>
    </r>
    <r>
      <rPr>
        <sz val="11"/>
        <color theme="1"/>
        <rFont val="맑은 고딕"/>
        <family val="2"/>
        <charset val="129"/>
      </rPr>
      <t xml:space="preserve">+</t>
    </r>
    <r>
      <rPr>
        <sz val="11"/>
        <color theme="1"/>
        <rFont val="WenQuanYi Zen Hei"/>
        <family val="2"/>
      </rPr>
      <t xml:space="preserve">지역사무소</t>
    </r>
    <r>
      <rPr>
        <sz val="11"/>
        <color theme="1"/>
        <rFont val="맑은 고딕"/>
        <family val="2"/>
        <charset val="129"/>
      </rPr>
      <t xml:space="preserve">8</t>
    </r>
    <r>
      <rPr>
        <sz val="11"/>
        <color theme="1"/>
        <rFont val="WenQuanYi Zen Hei"/>
        <family val="2"/>
      </rPr>
      <t xml:space="preserve">대</t>
    </r>
    <r>
      <rPr>
        <sz val="11"/>
        <color theme="1"/>
        <rFont val="맑은 고딕"/>
        <family val="2"/>
        <charset val="129"/>
      </rPr>
      <t xml:space="preserve">)×630</t>
    </r>
    <r>
      <rPr>
        <sz val="11"/>
        <color theme="1"/>
        <rFont val="WenQuanYi Zen Hei"/>
        <family val="2"/>
      </rPr>
      <t xml:space="preserve">천원</t>
    </r>
    <r>
      <rPr>
        <sz val="11"/>
        <color theme="1"/>
        <rFont val="맑은 고딕"/>
        <family val="2"/>
        <charset val="129"/>
      </rPr>
      <t xml:space="preserve">×12</t>
    </r>
    <r>
      <rPr>
        <sz val="11"/>
        <color theme="1"/>
        <rFont val="WenQuanYi Zen Hei"/>
        <family val="2"/>
      </rPr>
      <t xml:space="preserve">월</t>
    </r>
  </si>
  <si>
    <r>
      <rPr>
        <sz val="11"/>
        <color theme="1"/>
        <rFont val="맑은 고딕"/>
        <family val="2"/>
        <charset val="129"/>
      </rPr>
      <t xml:space="preserve">= 25</t>
    </r>
    <r>
      <rPr>
        <sz val="11"/>
        <color theme="1"/>
        <rFont val="WenQuanYi Zen Hei"/>
        <family val="2"/>
      </rPr>
      <t xml:space="preserve">대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WenQuanYi Zen Hei"/>
        <family val="2"/>
      </rPr>
      <t xml:space="preserve">본부</t>
    </r>
    <r>
      <rPr>
        <sz val="11"/>
        <color theme="1"/>
        <rFont val="맑은 고딕"/>
        <family val="2"/>
        <charset val="129"/>
      </rPr>
      <t xml:space="preserve">17</t>
    </r>
    <r>
      <rPr>
        <sz val="11"/>
        <color theme="1"/>
        <rFont val="WenQuanYi Zen Hei"/>
        <family val="2"/>
      </rPr>
      <t xml:space="preserve">대</t>
    </r>
    <r>
      <rPr>
        <sz val="11"/>
        <color theme="1"/>
        <rFont val="맑은 고딕"/>
        <family val="2"/>
        <charset val="129"/>
      </rPr>
      <t xml:space="preserve">+</t>
    </r>
    <r>
      <rPr>
        <sz val="11"/>
        <color theme="1"/>
        <rFont val="WenQuanYi Zen Hei"/>
        <family val="2"/>
      </rPr>
      <t xml:space="preserve">지역사무소</t>
    </r>
    <r>
      <rPr>
        <sz val="11"/>
        <color theme="1"/>
        <rFont val="맑은 고딕"/>
        <family val="2"/>
        <charset val="129"/>
      </rPr>
      <t xml:space="preserve">8</t>
    </r>
    <r>
      <rPr>
        <sz val="11"/>
        <color theme="1"/>
        <rFont val="WenQuanYi Zen Hei"/>
        <family val="2"/>
      </rPr>
      <t xml:space="preserve">대</t>
    </r>
    <r>
      <rPr>
        <sz val="11"/>
        <color theme="1"/>
        <rFont val="맑은 고딕"/>
        <family val="2"/>
        <charset val="129"/>
      </rPr>
      <t xml:space="preserve">)×700</t>
    </r>
    <r>
      <rPr>
        <sz val="11"/>
        <color theme="1"/>
        <rFont val="WenQuanYi Zen Hei"/>
        <family val="2"/>
      </rPr>
      <t xml:space="preserve">천원</t>
    </r>
    <r>
      <rPr>
        <sz val="11"/>
        <color theme="1"/>
        <rFont val="맑은 고딕"/>
        <family val="2"/>
        <charset val="129"/>
      </rPr>
      <t xml:space="preserve">×12</t>
    </r>
    <r>
      <rPr>
        <sz val="11"/>
        <color theme="1"/>
        <rFont val="WenQuanYi Zen Hei"/>
        <family val="2"/>
      </rPr>
      <t xml:space="preserve">월</t>
    </r>
  </si>
  <si>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WenQuanYi Zen Hei"/>
        <family val="2"/>
      </rPr>
      <t xml:space="preserve">증액</t>
    </r>
    <r>
      <rPr>
        <sz val="11"/>
        <color theme="1"/>
        <rFont val="맑은 고딕"/>
        <family val="2"/>
        <charset val="129"/>
      </rPr>
      <t xml:space="preserve">)</t>
    </r>
    <r>
      <rPr>
        <sz val="11"/>
        <color theme="1"/>
        <rFont val="WenQuanYi Zen Hei"/>
        <family val="2"/>
      </rPr>
      <t xml:space="preserve">임차차량 증가 및 유류비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WenQuanYi Zen Hei"/>
        <family val="2"/>
      </rPr>
      <t xml:space="preserve">충전비 증가 분 반영</t>
    </r>
  </si>
  <si>
    <t xml:space="preserve">단말기수선</t>
  </si>
  <si>
    <t xml:space="preserve">수선유지비</t>
  </si>
  <si>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WenQuanYi Zen Hei"/>
        <family val="2"/>
      </rPr>
      <t xml:space="preserve">단말기 운용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WenQuanYi Zen Hei"/>
        <family val="2"/>
      </rPr>
      <t xml:space="preserve">임직원 스마트 단말기 수선유지</t>
    </r>
  </si>
  <si>
    <r>
      <rPr>
        <sz val="11"/>
        <color theme="1"/>
        <rFont val="맑은 고딕"/>
        <family val="2"/>
        <charset val="129"/>
      </rPr>
      <t xml:space="preserve">= 6</t>
    </r>
    <r>
      <rPr>
        <sz val="11"/>
        <color theme="1"/>
        <rFont val="WenQuanYi Zen Hei"/>
        <family val="2"/>
      </rPr>
      <t xml:space="preserve">대</t>
    </r>
    <r>
      <rPr>
        <sz val="11"/>
        <color theme="1"/>
        <rFont val="맑은 고딕"/>
        <family val="2"/>
        <charset val="129"/>
      </rPr>
      <t xml:space="preserve">×12</t>
    </r>
    <r>
      <rPr>
        <sz val="11"/>
        <color theme="1"/>
        <rFont val="WenQuanYi Zen Hei"/>
        <family val="2"/>
      </rPr>
      <t xml:space="preserve">월</t>
    </r>
    <r>
      <rPr>
        <sz val="11"/>
        <color theme="1"/>
        <rFont val="맑은 고딕"/>
        <family val="2"/>
        <charset val="129"/>
      </rPr>
      <t xml:space="preserve">×70</t>
    </r>
    <r>
      <rPr>
        <sz val="11"/>
        <color theme="1"/>
        <rFont val="WenQuanYi Zen Hei"/>
        <family val="2"/>
      </rPr>
      <t xml:space="preserve">천원</t>
    </r>
  </si>
  <si>
    <r>
      <rPr>
        <sz val="11"/>
        <color theme="1"/>
        <rFont val="맑은 고딕"/>
        <family val="2"/>
        <charset val="129"/>
      </rPr>
      <t xml:space="preserve">= 20</t>
    </r>
    <r>
      <rPr>
        <sz val="11"/>
        <color theme="1"/>
        <rFont val="WenQuanYi Zen Hei"/>
        <family val="2"/>
      </rPr>
      <t xml:space="preserve">대</t>
    </r>
    <r>
      <rPr>
        <sz val="11"/>
        <color theme="1"/>
        <rFont val="맑은 고딕"/>
        <family val="2"/>
        <charset val="129"/>
      </rPr>
      <t xml:space="preserve">×12</t>
    </r>
    <r>
      <rPr>
        <sz val="11"/>
        <color theme="1"/>
        <rFont val="WenQuanYi Zen Hei"/>
        <family val="2"/>
      </rPr>
      <t xml:space="preserve">월</t>
    </r>
    <r>
      <rPr>
        <sz val="11"/>
        <color theme="1"/>
        <rFont val="맑은 고딕"/>
        <family val="2"/>
        <charset val="129"/>
      </rPr>
      <t xml:space="preserve">×70</t>
    </r>
    <r>
      <rPr>
        <sz val="11"/>
        <color theme="1"/>
        <rFont val="WenQuanYi Zen Hei"/>
        <family val="2"/>
      </rPr>
      <t xml:space="preserve">천원</t>
    </r>
  </si>
  <si>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WenQuanYi Zen Hei"/>
        <family val="2"/>
      </rPr>
      <t xml:space="preserve">증액</t>
    </r>
    <r>
      <rPr>
        <sz val="11"/>
        <color theme="1"/>
        <rFont val="맑은 고딕"/>
        <family val="2"/>
        <charset val="129"/>
      </rPr>
      <t xml:space="preserve">)2027</t>
    </r>
    <r>
      <rPr>
        <sz val="11"/>
        <color theme="1"/>
        <rFont val="WenQuanYi Zen Hei"/>
        <family val="2"/>
      </rPr>
      <t xml:space="preserve">년 </t>
    </r>
    <r>
      <rPr>
        <sz val="11"/>
        <color theme="1"/>
        <rFont val="맑은 고딕"/>
        <family val="2"/>
        <charset val="129"/>
      </rPr>
      <t xml:space="preserve">3</t>
    </r>
    <r>
      <rPr>
        <sz val="11"/>
        <color theme="1"/>
        <rFont val="WenQuanYi Zen Hei"/>
        <family val="2"/>
      </rPr>
      <t xml:space="preserve">월 기존 단말기 반납에 따른 수리 요청 증가</t>
    </r>
  </si>
  <si>
    <t xml:space="preserve">기념일선물</t>
  </si>
  <si>
    <r>
      <rPr>
        <sz val="11"/>
        <color theme="1"/>
        <rFont val="맑은 고딕"/>
        <family val="2"/>
        <charset val="129"/>
      </rPr>
      <t xml:space="preserve">3. </t>
    </r>
    <r>
      <rPr>
        <sz val="11"/>
        <color theme="1"/>
        <rFont val="WenQuanYi Zen Hei"/>
        <family val="2"/>
      </rPr>
      <t xml:space="preserve">검사출장비 등 실질적 임금인상 확대</t>
    </r>
  </si>
  <si>
    <t xml:space="preserve">선물대</t>
  </si>
  <si>
    <t xml:space="preserve">연간 기념일 임직원 선물 지급(6회/년)</t>
  </si>
  <si>
    <r>
      <rPr>
        <sz val="11"/>
        <color theme="1"/>
        <rFont val="맑은 고딕"/>
        <family val="2"/>
        <charset val="129"/>
      </rPr>
      <t xml:space="preserve">= 1,790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2"/>
        <charset val="129"/>
      </rPr>
      <t xml:space="preserve">(7</t>
    </r>
    <r>
      <rPr>
        <sz val="11"/>
        <color theme="1"/>
        <rFont val="WenQuanYi Zen Hei"/>
        <family val="2"/>
      </rPr>
      <t xml:space="preserve">월기준인원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WenQuanYi Zen Hei"/>
        <family val="2"/>
      </rPr>
      <t xml:space="preserve">신입사원 미반영</t>
    </r>
    <r>
      <rPr>
        <sz val="11"/>
        <color theme="1"/>
        <rFont val="맑은 고딕"/>
        <family val="2"/>
        <charset val="129"/>
      </rPr>
      <t xml:space="preserve">)×6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2"/>
        <charset val="129"/>
      </rPr>
      <t xml:space="preserve">×50</t>
    </r>
    <r>
      <rPr>
        <sz val="11"/>
        <color theme="1"/>
        <rFont val="WenQuanYi Zen Hei"/>
        <family val="2"/>
      </rPr>
      <t xml:space="preserve">천원</t>
    </r>
  </si>
  <si>
    <r>
      <rPr>
        <sz val="11"/>
        <color theme="1"/>
        <rFont val="맑은 고딕"/>
        <family val="2"/>
        <charset val="129"/>
      </rPr>
      <t xml:space="preserve">= 1,800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2"/>
        <charset val="129"/>
      </rPr>
      <t xml:space="preserve">(7</t>
    </r>
    <r>
      <rPr>
        <sz val="11"/>
        <color theme="1"/>
        <rFont val="WenQuanYi Zen Hei"/>
        <family val="2"/>
      </rPr>
      <t xml:space="preserve">월기준인원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WenQuanYi Zen Hei"/>
        <family val="2"/>
      </rPr>
      <t xml:space="preserve">신입사원 미반영</t>
    </r>
    <r>
      <rPr>
        <sz val="11"/>
        <color theme="1"/>
        <rFont val="맑은 고딕"/>
        <family val="2"/>
        <charset val="129"/>
      </rPr>
      <t xml:space="preserve">)×6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2"/>
        <charset val="129"/>
      </rPr>
      <t xml:space="preserve">×50</t>
    </r>
    <r>
      <rPr>
        <sz val="11"/>
        <color theme="1"/>
        <rFont val="WenQuanYi Zen Hei"/>
        <family val="2"/>
      </rPr>
      <t xml:space="preserve">천원</t>
    </r>
  </si>
  <si>
    <r>
      <rPr>
        <sz val="11"/>
        <color theme="1"/>
        <rFont val="맑은 고딕"/>
        <family val="2"/>
        <charset val="129"/>
      </rPr>
      <t xml:space="preserve">27</t>
    </r>
    <r>
      <rPr>
        <sz val="11"/>
        <color theme="1"/>
        <rFont val="WenQuanYi Zen Hei"/>
        <family val="2"/>
      </rPr>
      <t xml:space="preserve">년 현원 증가</t>
    </r>
  </si>
  <si>
    <t xml:space="preserve">휴양소</t>
  </si>
  <si>
    <r>
      <rPr>
        <sz val="11"/>
        <color theme="1"/>
        <rFont val="맑은 고딕"/>
        <family val="2"/>
        <charset val="129"/>
      </rPr>
      <t xml:space="preserve">8-</t>
    </r>
    <r>
      <rPr>
        <sz val="11"/>
        <color theme="1"/>
        <rFont val="WenQuanYi Zen Hei"/>
        <family val="2"/>
      </rPr>
      <t xml:space="preserve">나</t>
    </r>
    <r>
      <rPr>
        <sz val="11"/>
        <color theme="1"/>
        <rFont val="맑은 고딕"/>
        <family val="2"/>
        <charset val="129"/>
      </rPr>
      <t xml:space="preserve">-3) </t>
    </r>
    <r>
      <rPr>
        <sz val="11"/>
        <color theme="1"/>
        <rFont val="WenQuanYi Zen Hei"/>
        <family val="2"/>
      </rPr>
      <t xml:space="preserve">휴양소 확대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WenQuanYi Zen Hei"/>
        <family val="2"/>
      </rPr>
      <t xml:space="preserve">서비스 질 개선</t>
    </r>
    <r>
      <rPr>
        <sz val="11"/>
        <color theme="1"/>
        <rFont val="맑은 고딕"/>
        <family val="2"/>
        <charset val="129"/>
      </rPr>
      <t xml:space="preserve">), </t>
    </r>
    <r>
      <rPr>
        <sz val="11"/>
        <color theme="1"/>
        <rFont val="WenQuanYi Zen Hei"/>
        <family val="2"/>
      </rPr>
      <t xml:space="preserve">통근버스 대안 마련</t>
    </r>
  </si>
  <si>
    <t xml:space="preserve">휴양소운영비</t>
  </si>
  <si>
    <t xml:space="preserve">휴양소 위탁 운영비</t>
  </si>
  <si>
    <r>
      <rPr>
        <sz val="11"/>
        <color theme="1"/>
        <rFont val="맑은 고딕"/>
        <family val="2"/>
        <charset val="129"/>
      </rPr>
      <t xml:space="preserve">= 700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2"/>
        <charset val="129"/>
      </rPr>
      <t xml:space="preserve">×2</t>
    </r>
    <r>
      <rPr>
        <sz val="11"/>
        <color theme="1"/>
        <rFont val="WenQuanYi Zen Hei"/>
        <family val="2"/>
      </rPr>
      <t xml:space="preserve">일</t>
    </r>
    <r>
      <rPr>
        <sz val="11"/>
        <color theme="1"/>
        <rFont val="맑은 고딕"/>
        <family val="2"/>
        <charset val="129"/>
      </rPr>
      <t xml:space="preserve">×293</t>
    </r>
    <r>
      <rPr>
        <sz val="11"/>
        <color theme="1"/>
        <rFont val="WenQuanYi Zen Hei"/>
        <family val="2"/>
      </rPr>
      <t xml:space="preserve">천원</t>
    </r>
  </si>
  <si>
    <t xml:space="preserve">건강검진비</t>
  </si>
  <si>
    <t xml:space="preserve">종합건강검진비, 특수건강검진비(야간경비근로자)</t>
  </si>
  <si>
    <r>
      <rPr>
        <sz val="11"/>
        <color theme="1"/>
        <rFont val="맑은 고딕"/>
        <family val="2"/>
        <charset val="129"/>
      </rPr>
      <t xml:space="preserve">= 900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2"/>
        <charset val="129"/>
      </rPr>
      <t xml:space="preserve">×250</t>
    </r>
    <r>
      <rPr>
        <sz val="11"/>
        <color theme="1"/>
        <rFont val="WenQuanYi Zen Hei"/>
        <family val="2"/>
      </rPr>
      <t xml:space="preserve">천원</t>
    </r>
    <r>
      <rPr>
        <sz val="11"/>
        <color theme="1"/>
        <rFont val="맑은 고딕"/>
        <family val="2"/>
        <charset val="129"/>
      </rPr>
      <t xml:space="preserve">×94%(3</t>
    </r>
    <r>
      <rPr>
        <sz val="11"/>
        <color theme="1"/>
        <rFont val="WenQuanYi Zen Hei"/>
        <family val="2"/>
      </rPr>
      <t xml:space="preserve">년치 수검률 반영</t>
    </r>
    <r>
      <rPr>
        <sz val="11"/>
        <color theme="1"/>
        <rFont val="맑은 고딕"/>
        <family val="2"/>
        <charset val="129"/>
      </rPr>
      <t xml:space="preserve">)</t>
    </r>
  </si>
  <si>
    <t xml:space="preserve">출산선물</t>
  </si>
  <si>
    <r>
      <rPr>
        <sz val="11"/>
        <color theme="1"/>
        <rFont val="맑은 고딕"/>
        <family val="2"/>
        <charset val="129"/>
      </rPr>
      <t xml:space="preserve">8-</t>
    </r>
    <r>
      <rPr>
        <sz val="11"/>
        <color theme="1"/>
        <rFont val="WenQuanYi Zen Hei"/>
        <family val="2"/>
      </rPr>
      <t xml:space="preserve">가</t>
    </r>
    <r>
      <rPr>
        <sz val="11"/>
        <color theme="1"/>
        <rFont val="맑은 고딕"/>
        <family val="2"/>
        <charset val="129"/>
      </rPr>
      <t xml:space="preserve">-3) </t>
    </r>
    <r>
      <rPr>
        <sz val="11"/>
        <color theme="1"/>
        <rFont val="WenQuanYi Zen Hei"/>
        <family val="2"/>
      </rPr>
      <t xml:space="preserve">출산축하금 인상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WenQuanYi Zen Hei"/>
        <family val="2"/>
      </rPr>
      <t xml:space="preserve">둘째 </t>
    </r>
    <r>
      <rPr>
        <sz val="11"/>
        <color theme="1"/>
        <rFont val="맑은 고딕"/>
        <family val="2"/>
        <charset val="129"/>
      </rPr>
      <t xml:space="preserve">200</t>
    </r>
    <r>
      <rPr>
        <sz val="11"/>
        <color theme="1"/>
        <rFont val="WenQuanYi Zen Hei"/>
        <family val="2"/>
      </rPr>
      <t xml:space="preserve">만원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WenQuanYi Zen Hei"/>
        <family val="2"/>
      </rPr>
      <t xml:space="preserve">셋째 </t>
    </r>
    <r>
      <rPr>
        <sz val="11"/>
        <color theme="1"/>
        <rFont val="맑은 고딕"/>
        <family val="2"/>
        <charset val="129"/>
      </rPr>
      <t xml:space="preserve">300</t>
    </r>
    <r>
      <rPr>
        <sz val="11"/>
        <color theme="1"/>
        <rFont val="WenQuanYi Zen Hei"/>
        <family val="2"/>
      </rPr>
      <t xml:space="preserve">만원</t>
    </r>
    <r>
      <rPr>
        <sz val="11"/>
        <color theme="1"/>
        <rFont val="맑은 고딕"/>
        <family val="2"/>
        <charset val="129"/>
      </rPr>
      <t xml:space="preserve">)</t>
    </r>
  </si>
  <si>
    <t xml:space="preserve">임직원 출산 축하 선물 지급</t>
  </si>
  <si>
    <r>
      <rPr>
        <sz val="11"/>
        <color theme="1"/>
        <rFont val="맑은 고딕"/>
        <family val="2"/>
        <charset val="129"/>
      </rPr>
      <t xml:space="preserve">= 60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2"/>
        <charset val="129"/>
      </rPr>
      <t xml:space="preserve">×1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2"/>
        <charset val="129"/>
      </rPr>
      <t xml:space="preserve">×50</t>
    </r>
    <r>
      <rPr>
        <sz val="11"/>
        <color theme="1"/>
        <rFont val="WenQuanYi Zen Hei"/>
        <family val="2"/>
      </rPr>
      <t xml:space="preserve">천원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WenQuanYi Zen Hei"/>
        <family val="2"/>
      </rPr>
      <t xml:space="preserve">연간 출산인원</t>
    </r>
    <r>
      <rPr>
        <sz val="11"/>
        <color theme="1"/>
        <rFont val="맑은 고딕"/>
        <family val="2"/>
        <charset val="129"/>
      </rPr>
      <t xml:space="preserve">)</t>
    </r>
  </si>
  <si>
    <t xml:space="preserve">식당운영협의회</t>
  </si>
  <si>
    <r>
      <rPr>
        <sz val="11"/>
        <color theme="1"/>
        <rFont val="맑은 고딕"/>
        <family val="2"/>
        <charset val="129"/>
      </rPr>
      <t xml:space="preserve">10-</t>
    </r>
    <r>
      <rPr>
        <sz val="11"/>
        <color theme="1"/>
        <rFont val="WenQuanYi Zen Hei"/>
        <family val="2"/>
      </rPr>
      <t xml:space="preserve">나</t>
    </r>
    <r>
      <rPr>
        <sz val="11"/>
        <color theme="1"/>
        <rFont val="맑은 고딕"/>
        <family val="2"/>
        <charset val="129"/>
      </rPr>
      <t xml:space="preserve">-3) </t>
    </r>
    <r>
      <rPr>
        <sz val="11"/>
        <color theme="1"/>
        <rFont val="WenQuanYi Zen Hei"/>
        <family val="2"/>
      </rPr>
      <t xml:space="preserve">회의체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WenQuanYi Zen Hei"/>
        <family val="2"/>
      </rPr>
      <t xml:space="preserve">노사협의회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WenQuanYi Zen Hei"/>
        <family val="2"/>
      </rPr>
      <t xml:space="preserve">검사</t>
    </r>
    <r>
      <rPr>
        <sz val="11"/>
        <color theme="1"/>
        <rFont val="맑은 고딕"/>
        <family val="2"/>
        <charset val="129"/>
      </rPr>
      <t xml:space="preserve">·</t>
    </r>
    <r>
      <rPr>
        <sz val="11"/>
        <color theme="1"/>
        <rFont val="WenQuanYi Zen Hei"/>
        <family val="2"/>
      </rPr>
      <t xml:space="preserve">인사</t>
    </r>
    <r>
      <rPr>
        <sz val="11"/>
        <color theme="1"/>
        <rFont val="맑은 고딕"/>
        <family val="2"/>
        <charset val="129"/>
      </rPr>
      <t xml:space="preserve">TF </t>
    </r>
    <r>
      <rPr>
        <sz val="11"/>
        <color theme="1"/>
        <rFont val="WenQuanYi Zen Hei"/>
        <family val="2"/>
      </rPr>
      <t xml:space="preserve">등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WenQuanYi Zen Hei"/>
        <family val="2"/>
      </rPr>
      <t xml:space="preserve">참여인원 </t>
    </r>
    <r>
      <rPr>
        <sz val="11"/>
        <color theme="1"/>
        <rFont val="맑은 고딕"/>
        <family val="2"/>
        <charset val="129"/>
      </rPr>
      <t xml:space="preserve">1.5</t>
    </r>
    <r>
      <rPr>
        <sz val="11"/>
        <color theme="1"/>
        <rFont val="WenQuanYi Zen Hei"/>
        <family val="2"/>
      </rPr>
      <t xml:space="preserve">배 확대</t>
    </r>
  </si>
  <si>
    <t xml:space="preserve">식당운영협의회 운영</t>
  </si>
  <si>
    <r>
      <rPr>
        <sz val="11"/>
        <color theme="1"/>
        <rFont val="맑은 고딕"/>
        <family val="2"/>
        <charset val="129"/>
      </rPr>
      <t xml:space="preserve">= 20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2"/>
        <charset val="129"/>
      </rPr>
      <t xml:space="preserve">×2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2"/>
        <charset val="129"/>
      </rPr>
      <t xml:space="preserve">×5</t>
    </r>
    <r>
      <rPr>
        <sz val="11"/>
        <color theme="1"/>
        <rFont val="WenQuanYi Zen Hei"/>
        <family val="2"/>
      </rPr>
      <t xml:space="preserve">천원</t>
    </r>
  </si>
  <si>
    <t xml:space="preserve">통근버스</t>
  </si>
  <si>
    <t xml:space="preserve">주말 통근버스 운행</t>
  </si>
  <si>
    <r>
      <rPr>
        <sz val="11"/>
        <color theme="1"/>
        <rFont val="맑은 고딕"/>
        <family val="2"/>
        <charset val="129"/>
      </rPr>
      <t xml:space="preserve">= 52</t>
    </r>
    <r>
      <rPr>
        <sz val="11"/>
        <color theme="1"/>
        <rFont val="WenQuanYi Zen Hei"/>
        <family val="2"/>
      </rPr>
      <t xml:space="preserve">주</t>
    </r>
    <r>
      <rPr>
        <sz val="11"/>
        <color theme="1"/>
        <rFont val="맑은 고딕"/>
        <family val="2"/>
        <charset val="129"/>
      </rPr>
      <t xml:space="preserve">×2</t>
    </r>
    <r>
      <rPr>
        <sz val="11"/>
        <color theme="1"/>
        <rFont val="WenQuanYi Zen Hei"/>
        <family val="2"/>
      </rPr>
      <t xml:space="preserve">대</t>
    </r>
    <r>
      <rPr>
        <sz val="11"/>
        <color theme="1"/>
        <rFont val="맑은 고딕"/>
        <family val="2"/>
        <charset val="129"/>
      </rPr>
      <t xml:space="preserve">×1,800</t>
    </r>
    <r>
      <rPr>
        <sz val="11"/>
        <color theme="1"/>
        <rFont val="WenQuanYi Zen Hei"/>
        <family val="2"/>
      </rPr>
      <t xml:space="preserve">천원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WenQuanYi Zen Hei"/>
        <family val="2"/>
      </rPr>
      <t xml:space="preserve">우등왕복</t>
    </r>
    <r>
      <rPr>
        <sz val="11"/>
        <color theme="1"/>
        <rFont val="맑은 고딕"/>
        <family val="2"/>
        <charset val="129"/>
      </rPr>
      <t xml:space="preserve">)+52</t>
    </r>
    <r>
      <rPr>
        <sz val="11"/>
        <color theme="1"/>
        <rFont val="WenQuanYi Zen Hei"/>
        <family val="2"/>
      </rPr>
      <t xml:space="preserve">주</t>
    </r>
    <r>
      <rPr>
        <sz val="11"/>
        <color theme="1"/>
        <rFont val="맑은 고딕"/>
        <family val="2"/>
        <charset val="129"/>
      </rPr>
      <t xml:space="preserve">×1</t>
    </r>
    <r>
      <rPr>
        <sz val="11"/>
        <color theme="1"/>
        <rFont val="WenQuanYi Zen Hei"/>
        <family val="2"/>
      </rPr>
      <t xml:space="preserve">대</t>
    </r>
    <r>
      <rPr>
        <sz val="11"/>
        <color theme="1"/>
        <rFont val="맑은 고딕"/>
        <family val="2"/>
        <charset val="129"/>
      </rPr>
      <t xml:space="preserve">×600</t>
    </r>
    <r>
      <rPr>
        <sz val="11"/>
        <color theme="1"/>
        <rFont val="WenQuanYi Zen Hei"/>
        <family val="2"/>
      </rPr>
      <t xml:space="preserve">천원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WenQuanYi Zen Hei"/>
        <family val="2"/>
      </rPr>
      <t xml:space="preserve">미니왕복</t>
    </r>
    <r>
      <rPr>
        <sz val="11"/>
        <color theme="1"/>
        <rFont val="맑은 고딕"/>
        <family val="2"/>
        <charset val="129"/>
      </rPr>
      <t xml:space="preserve">)</t>
    </r>
  </si>
  <si>
    <t xml:space="preserve">장례물품</t>
  </si>
  <si>
    <t xml:space="preserve">장례물품 제작</t>
  </si>
  <si>
    <r>
      <rPr>
        <sz val="11"/>
        <color theme="1"/>
        <rFont val="맑은 고딕"/>
        <family val="2"/>
        <charset val="129"/>
      </rPr>
      <t xml:space="preserve">= 1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2"/>
        <charset val="129"/>
      </rPr>
      <t xml:space="preserve">×100</t>
    </r>
    <r>
      <rPr>
        <sz val="11"/>
        <color theme="1"/>
        <rFont val="WenQuanYi Zen Hei"/>
        <family val="2"/>
      </rPr>
      <t xml:space="preserve">박스</t>
    </r>
    <r>
      <rPr>
        <sz val="11"/>
        <color theme="1"/>
        <rFont val="맑은 고딕"/>
        <family val="2"/>
        <charset val="129"/>
      </rPr>
      <t xml:space="preserve">×220</t>
    </r>
    <r>
      <rPr>
        <sz val="11"/>
        <color theme="1"/>
        <rFont val="WenQuanYi Zen Hei"/>
        <family val="2"/>
      </rPr>
      <t xml:space="preserve">천원</t>
    </r>
  </si>
  <si>
    <t xml:space="preserve">출산축하금</t>
  </si>
  <si>
    <t xml:space="preserve">출산축하금 지급</t>
  </si>
  <si>
    <r>
      <rPr>
        <sz val="11"/>
        <color theme="1"/>
        <rFont val="맑은 고딕"/>
        <family val="2"/>
        <charset val="129"/>
      </rPr>
      <t xml:space="preserve">= 20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2"/>
        <charset val="129"/>
      </rPr>
      <t xml:space="preserve">×1,000</t>
    </r>
    <r>
      <rPr>
        <sz val="11"/>
        <color theme="1"/>
        <rFont val="WenQuanYi Zen Hei"/>
        <family val="2"/>
      </rPr>
      <t xml:space="preserve">천원</t>
    </r>
    <r>
      <rPr>
        <sz val="11"/>
        <color theme="1"/>
        <rFont val="맑은 고딕"/>
        <family val="2"/>
        <charset val="129"/>
      </rPr>
      <t xml:space="preserve">+4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2"/>
        <charset val="129"/>
      </rPr>
      <t xml:space="preserve">×1,500</t>
    </r>
    <r>
      <rPr>
        <sz val="11"/>
        <color theme="1"/>
        <rFont val="WenQuanYi Zen Hei"/>
        <family val="2"/>
      </rPr>
      <t xml:space="preserve">천원</t>
    </r>
  </si>
  <si>
    <t xml:space="preserve">구내식당</t>
  </si>
  <si>
    <t xml:space="preserve">구내식당 운영 관련 물품 구입(지역 농산물 등)</t>
  </si>
  <si>
    <r>
      <rPr>
        <sz val="11"/>
        <color theme="1"/>
        <rFont val="맑은 고딕"/>
        <family val="2"/>
        <charset val="129"/>
      </rPr>
      <t xml:space="preserve">= 185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WenQuanYi Zen Hei"/>
        <family val="2"/>
      </rPr>
      <t xml:space="preserve">구내식당 평균이용 인원</t>
    </r>
    <r>
      <rPr>
        <sz val="11"/>
        <color theme="1"/>
        <rFont val="맑은 고딕"/>
        <family val="2"/>
        <charset val="129"/>
      </rPr>
      <t xml:space="preserve">)×12</t>
    </r>
    <r>
      <rPr>
        <sz val="11"/>
        <color theme="1"/>
        <rFont val="WenQuanYi Zen Hei"/>
        <family val="2"/>
      </rPr>
      <t xml:space="preserve">개월</t>
    </r>
    <r>
      <rPr>
        <sz val="11"/>
        <color theme="1"/>
        <rFont val="맑은 고딕"/>
        <family val="2"/>
        <charset val="129"/>
      </rPr>
      <t xml:space="preserve">×50</t>
    </r>
    <r>
      <rPr>
        <sz val="11"/>
        <color theme="1"/>
        <rFont val="WenQuanYi Zen Hei"/>
        <family val="2"/>
      </rPr>
      <t xml:space="preserve">천원</t>
    </r>
  </si>
  <si>
    <t xml:space="preserve">노사협의회</t>
  </si>
  <si>
    <r>
      <rPr>
        <sz val="11"/>
        <color theme="1"/>
        <rFont val="맑은 고딕"/>
        <family val="2"/>
        <charset val="129"/>
      </rPr>
      <t xml:space="preserve">11-5-1. </t>
    </r>
    <r>
      <rPr>
        <sz val="11"/>
        <color theme="1"/>
        <rFont val="WenQuanYi Zen Hei"/>
        <family val="2"/>
      </rPr>
      <t xml:space="preserve">상식이 통하고 원칙을 준수하는 공정한 노사관계 구축</t>
    </r>
  </si>
  <si>
    <t xml:space="preserve">중앙 노사협의회 운영</t>
  </si>
  <si>
    <r>
      <rPr>
        <sz val="11"/>
        <color theme="1"/>
        <rFont val="맑은 고딕"/>
        <family val="2"/>
        <charset val="129"/>
      </rPr>
      <t xml:space="preserve">= 23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2"/>
        <charset val="129"/>
      </rPr>
      <t xml:space="preserve">×4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2"/>
        <charset val="129"/>
      </rPr>
      <t xml:space="preserve">×30</t>
    </r>
    <r>
      <rPr>
        <sz val="11"/>
        <color theme="1"/>
        <rFont val="WenQuanYi Zen Hei"/>
        <family val="2"/>
      </rPr>
      <t xml:space="preserve">천원</t>
    </r>
  </si>
  <si>
    <r>
      <rPr>
        <sz val="11"/>
        <color theme="1"/>
        <rFont val="맑은 고딕"/>
        <family val="2"/>
        <charset val="129"/>
      </rPr>
      <t xml:space="preserve">13-</t>
    </r>
    <r>
      <rPr>
        <sz val="11"/>
        <color theme="1"/>
        <rFont val="WenQuanYi Zen Hei"/>
        <family val="2"/>
      </rPr>
      <t xml:space="preserve">가</t>
    </r>
    <r>
      <rPr>
        <sz val="11"/>
        <color theme="1"/>
        <rFont val="맑은 고딕"/>
        <family val="2"/>
        <charset val="129"/>
      </rPr>
      <t xml:space="preserve">-3) </t>
    </r>
    <r>
      <rPr>
        <sz val="11"/>
        <color theme="1"/>
        <rFont val="WenQuanYi Zen Hei"/>
        <family val="2"/>
      </rPr>
      <t xml:space="preserve">불합리한 성과지표 폐지 및 개선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WenQuanYi Zen Hei"/>
        <family val="2"/>
      </rPr>
      <t xml:space="preserve">지역별 노사협의회 자체해소 등</t>
    </r>
    <r>
      <rPr>
        <sz val="11"/>
        <color theme="1"/>
        <rFont val="맑은 고딕"/>
        <family val="2"/>
        <charset val="129"/>
      </rPr>
      <t xml:space="preserve">)</t>
    </r>
  </si>
  <si>
    <t xml:space="preserve">지역별 노사협의회 지원</t>
  </si>
  <si>
    <r>
      <rPr>
        <sz val="11"/>
        <color theme="1"/>
        <rFont val="맑은 고딕"/>
        <family val="2"/>
        <charset val="129"/>
      </rPr>
      <t xml:space="preserve">= 105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2"/>
        <charset val="129"/>
      </rPr>
      <t xml:space="preserve">×4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2"/>
        <charset val="129"/>
      </rPr>
      <t xml:space="preserve">×30</t>
    </r>
    <r>
      <rPr>
        <sz val="11"/>
        <color theme="1"/>
        <rFont val="WenQuanYi Zen Hei"/>
        <family val="2"/>
      </rPr>
      <t xml:space="preserve">천원</t>
    </r>
  </si>
  <si>
    <t xml:space="preserve">노사워크숍</t>
  </si>
  <si>
    <t xml:space="preserve">노사공동워크숍 운영</t>
  </si>
  <si>
    <r>
      <rPr>
        <sz val="11"/>
        <color theme="1"/>
        <rFont val="맑은 고딕"/>
        <family val="2"/>
        <charset val="129"/>
      </rPr>
      <t xml:space="preserve">= 135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2"/>
        <charset val="129"/>
      </rPr>
      <t xml:space="preserve">×2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2"/>
        <charset val="129"/>
      </rPr>
      <t xml:space="preserve">×160</t>
    </r>
    <r>
      <rPr>
        <sz val="11"/>
        <color theme="1"/>
        <rFont val="WenQuanYi Zen Hei"/>
        <family val="2"/>
      </rPr>
      <t xml:space="preserve">천원</t>
    </r>
  </si>
  <si>
    <t xml:space="preserve">임단협</t>
  </si>
  <si>
    <t xml:space="preserve">임단협 본교섭 운영</t>
  </si>
  <si>
    <t xml:space="preserve">임단협 실무교섭 운영</t>
  </si>
  <si>
    <r>
      <rPr>
        <sz val="11"/>
        <color theme="1"/>
        <rFont val="맑은 고딕"/>
        <family val="2"/>
        <charset val="129"/>
      </rPr>
      <t xml:space="preserve">= 23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2"/>
        <charset val="129"/>
      </rPr>
      <t xml:space="preserve">×10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2"/>
        <charset val="129"/>
      </rPr>
      <t xml:space="preserve">×30</t>
    </r>
    <r>
      <rPr>
        <sz val="11"/>
        <color theme="1"/>
        <rFont val="WenQuanYi Zen Hei"/>
        <family val="2"/>
      </rPr>
      <t xml:space="preserve">천원</t>
    </r>
  </si>
  <si>
    <t xml:space="preserve">허심탄회</t>
  </si>
  <si>
    <r>
      <rPr>
        <sz val="11"/>
        <color theme="1"/>
        <rFont val="맑은 고딕"/>
        <family val="2"/>
        <charset val="129"/>
      </rPr>
      <t xml:space="preserve">= 12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2"/>
        <charset val="129"/>
      </rPr>
      <t xml:space="preserve">×12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2"/>
        <charset val="129"/>
      </rPr>
      <t xml:space="preserve">×30</t>
    </r>
    <r>
      <rPr>
        <sz val="11"/>
        <color theme="1"/>
        <rFont val="WenQuanYi Zen Hei"/>
        <family val="2"/>
      </rPr>
      <t xml:space="preserve">천원</t>
    </r>
  </si>
  <si>
    <t xml:space="preserve">만사소통</t>
  </si>
  <si>
    <r>
      <rPr>
        <sz val="11"/>
        <color theme="1"/>
        <rFont val="맑은 고딕"/>
        <family val="2"/>
        <charset val="129"/>
      </rPr>
      <t xml:space="preserve">= 30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2"/>
        <charset val="129"/>
      </rPr>
      <t xml:space="preserve">×2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WenQuanYi Zen Hei"/>
        <family val="2"/>
      </rPr>
      <t xml:space="preserve">대면소통</t>
    </r>
    <r>
      <rPr>
        <sz val="11"/>
        <color theme="1"/>
        <rFont val="맑은 고딕"/>
        <family val="2"/>
        <charset val="129"/>
      </rPr>
      <t xml:space="preserve">)×100</t>
    </r>
    <r>
      <rPr>
        <sz val="11"/>
        <color theme="1"/>
        <rFont val="WenQuanYi Zen Hei"/>
        <family val="2"/>
      </rPr>
      <t xml:space="preserve">천원</t>
    </r>
  </si>
  <si>
    <r>
      <rPr>
        <sz val="11"/>
        <color theme="1"/>
        <rFont val="맑은 고딕"/>
        <family val="2"/>
        <charset val="129"/>
      </rPr>
      <t xml:space="preserve">= 7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2"/>
        <charset val="129"/>
      </rPr>
      <t xml:space="preserve">×4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2"/>
        <charset val="129"/>
      </rPr>
      <t xml:space="preserve">×160</t>
    </r>
    <r>
      <rPr>
        <sz val="11"/>
        <color theme="1"/>
        <rFont val="WenQuanYi Zen Hei"/>
        <family val="2"/>
      </rPr>
      <t xml:space="preserve">천원</t>
    </r>
  </si>
  <si>
    <r>
      <rPr>
        <sz val="11"/>
        <color theme="1"/>
        <rFont val="맑은 고딕"/>
        <family val="2"/>
        <charset val="129"/>
      </rPr>
      <t xml:space="preserve">= 23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2"/>
        <charset val="129"/>
      </rPr>
      <t xml:space="preserve">×2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2"/>
        <charset val="129"/>
      </rPr>
      <t xml:space="preserve">×160</t>
    </r>
    <r>
      <rPr>
        <sz val="11"/>
        <color theme="1"/>
        <rFont val="WenQuanYi Zen Hei"/>
        <family val="2"/>
      </rPr>
      <t xml:space="preserve">천원</t>
    </r>
  </si>
  <si>
    <r>
      <rPr>
        <sz val="11"/>
        <color theme="1"/>
        <rFont val="맑은 고딕"/>
        <family val="2"/>
        <charset val="129"/>
      </rPr>
      <t xml:space="preserve">= 23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2"/>
        <charset val="129"/>
      </rPr>
      <t xml:space="preserve">×5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2"/>
        <charset val="129"/>
      </rPr>
      <t xml:space="preserve">×160</t>
    </r>
    <r>
      <rPr>
        <sz val="11"/>
        <color theme="1"/>
        <rFont val="WenQuanYi Zen Hei"/>
        <family val="2"/>
      </rPr>
      <t xml:space="preserve">천원</t>
    </r>
  </si>
  <si>
    <t xml:space="preserve">임단협설명회</t>
  </si>
  <si>
    <r>
      <rPr>
        <sz val="11"/>
        <color theme="1"/>
        <rFont val="맑은 고딕"/>
        <family val="2"/>
        <charset val="129"/>
      </rPr>
      <t xml:space="preserve">10-</t>
    </r>
    <r>
      <rPr>
        <sz val="11"/>
        <color theme="1"/>
        <rFont val="WenQuanYi Zen Hei"/>
        <family val="2"/>
      </rPr>
      <t xml:space="preserve">다</t>
    </r>
    <r>
      <rPr>
        <sz val="11"/>
        <color theme="1"/>
        <rFont val="맑은 고딕"/>
        <family val="2"/>
        <charset val="129"/>
      </rPr>
      <t xml:space="preserve">-3) </t>
    </r>
    <r>
      <rPr>
        <sz val="11"/>
        <color theme="1"/>
        <rFont val="WenQuanYi Zen Hei"/>
        <family val="2"/>
      </rPr>
      <t xml:space="preserve">임단협 해설서 및 복지 매뉴얼 제작</t>
    </r>
    <r>
      <rPr>
        <sz val="11"/>
        <color theme="1"/>
        <rFont val="맑은 고딕"/>
        <family val="2"/>
        <charset val="129"/>
      </rPr>
      <t xml:space="preserve">·</t>
    </r>
    <r>
      <rPr>
        <sz val="11"/>
        <color theme="1"/>
        <rFont val="WenQuanYi Zen Hei"/>
        <family val="2"/>
      </rPr>
      <t xml:space="preserve">배포</t>
    </r>
  </si>
  <si>
    <t xml:space="preserve">노사공동 임단협 결과 설명회 실시</t>
  </si>
  <si>
    <r>
      <rPr>
        <sz val="11"/>
        <color theme="1"/>
        <rFont val="맑은 고딕"/>
        <family val="2"/>
        <charset val="129"/>
      </rPr>
      <t xml:space="preserve">= 2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2"/>
        <charset val="129"/>
      </rPr>
      <t xml:space="preserve">×53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2"/>
        <charset val="129"/>
      </rPr>
      <t xml:space="preserve">×30</t>
    </r>
    <r>
      <rPr>
        <sz val="11"/>
        <color theme="1"/>
        <rFont val="WenQuanYi Zen Hei"/>
        <family val="2"/>
      </rPr>
      <t xml:space="preserve">천원</t>
    </r>
  </si>
  <si>
    <t xml:space="preserve">노동법서적</t>
  </si>
  <si>
    <r>
      <rPr>
        <sz val="11"/>
        <color theme="1"/>
        <rFont val="맑은 고딕"/>
        <family val="2"/>
        <charset val="129"/>
      </rPr>
      <t xml:space="preserve">11-5-2. </t>
    </r>
    <r>
      <rPr>
        <sz val="11"/>
        <color theme="1"/>
        <rFont val="WenQuanYi Zen Hei"/>
        <family val="2"/>
      </rPr>
      <t xml:space="preserve">소통채널 활성화와 관리역량 강화를 통한 노사파트너십 향상</t>
    </r>
  </si>
  <si>
    <t xml:space="preserve">도서구입제작비</t>
  </si>
  <si>
    <t xml:space="preserve">노동법 등 관련 서적 구독 가입비(온라인 판례 조회 등을 위한 사이트 가입)</t>
  </si>
  <si>
    <r>
      <rPr>
        <sz val="11"/>
        <color theme="1"/>
        <rFont val="맑은 고딕"/>
        <family val="2"/>
        <charset val="129"/>
      </rPr>
      <t xml:space="preserve">= 1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2"/>
        <charset val="129"/>
      </rPr>
      <t xml:space="preserve">×732</t>
    </r>
    <r>
      <rPr>
        <sz val="11"/>
        <color theme="1"/>
        <rFont val="WenQuanYi Zen Hei"/>
        <family val="2"/>
      </rPr>
      <t xml:space="preserve">천원</t>
    </r>
  </si>
  <si>
    <t xml:space="preserve">고충상담</t>
  </si>
  <si>
    <t xml:space="preserve">고충상담 실시</t>
  </si>
  <si>
    <r>
      <rPr>
        <sz val="11"/>
        <color theme="1"/>
        <rFont val="맑은 고딕"/>
        <family val="2"/>
        <charset val="129"/>
      </rPr>
      <t xml:space="preserve">= 2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2"/>
        <charset val="129"/>
      </rPr>
      <t xml:space="preserve">×4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2"/>
        <charset val="129"/>
      </rPr>
      <t xml:space="preserve">×150</t>
    </r>
    <r>
      <rPr>
        <sz val="11"/>
        <color theme="1"/>
        <rFont val="WenQuanYi Zen Hei"/>
        <family val="2"/>
      </rPr>
      <t xml:space="preserve">천원</t>
    </r>
  </si>
  <si>
    <t xml:space="preserve">고충처리</t>
  </si>
  <si>
    <t xml:space="preserve">고충처리위원회 회의비</t>
  </si>
  <si>
    <r>
      <rPr>
        <sz val="11"/>
        <color theme="1"/>
        <rFont val="맑은 고딕"/>
        <family val="2"/>
        <charset val="129"/>
      </rPr>
      <t xml:space="preserve">= 8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2"/>
        <charset val="129"/>
      </rPr>
      <t xml:space="preserve">×8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2"/>
        <charset val="129"/>
      </rPr>
      <t xml:space="preserve">×28</t>
    </r>
    <r>
      <rPr>
        <sz val="11"/>
        <color theme="1"/>
        <rFont val="WenQuanYi Zen Hei"/>
        <family val="2"/>
      </rPr>
      <t xml:space="preserve">천원</t>
    </r>
  </si>
  <si>
    <t xml:space="preserve">기록물관리</t>
  </si>
  <si>
    <r>
      <rPr>
        <sz val="11"/>
        <color theme="1"/>
        <rFont val="맑은 고딕"/>
        <family val="2"/>
        <charset val="129"/>
      </rPr>
      <t xml:space="preserve">10-1-9 </t>
    </r>
    <r>
      <rPr>
        <sz val="11"/>
        <color theme="1"/>
        <rFont val="WenQuanYi Zen Hei"/>
        <family val="2"/>
      </rPr>
      <t xml:space="preserve">체계적인 기록물 관리</t>
    </r>
    <r>
      <rPr>
        <sz val="11"/>
        <color theme="1"/>
        <rFont val="맑은 고딕"/>
        <family val="2"/>
        <charset val="129"/>
      </rPr>
      <t xml:space="preserve">·</t>
    </r>
    <r>
      <rPr>
        <sz val="11"/>
        <color theme="1"/>
        <rFont val="WenQuanYi Zen Hei"/>
        <family val="2"/>
      </rPr>
      <t xml:space="preserve">운영</t>
    </r>
  </si>
  <si>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WenQuanYi Zen Hei"/>
        <family val="2"/>
      </rPr>
      <t xml:space="preserve">체계적 기록물 관리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WenQuanYi Zen Hei"/>
        <family val="2"/>
      </rPr>
      <t xml:space="preserve">부서 기록물 관리 지도 점검 시행</t>
    </r>
  </si>
  <si>
    <r>
      <rPr>
        <sz val="11"/>
        <color theme="1"/>
        <rFont val="맑은 고딕"/>
        <family val="2"/>
        <charset val="129"/>
      </rPr>
      <t xml:space="preserve">= (</t>
    </r>
    <r>
      <rPr>
        <sz val="11"/>
        <color theme="1"/>
        <rFont val="WenQuanYi Zen Hei"/>
        <family val="2"/>
      </rPr>
      <t xml:space="preserve">서울기준</t>
    </r>
    <r>
      <rPr>
        <sz val="11"/>
        <color theme="1"/>
        <rFont val="맑은 고딕"/>
        <family val="2"/>
        <charset val="129"/>
      </rPr>
      <t xml:space="preserve">) 2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2"/>
        <charset val="129"/>
      </rPr>
      <t xml:space="preserve">x1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2"/>
        <charset val="129"/>
      </rPr>
      <t xml:space="preserve">x165</t>
    </r>
    <r>
      <rPr>
        <sz val="11"/>
        <color theme="1"/>
        <rFont val="WenQuanYi Zen Hei"/>
        <family val="2"/>
      </rPr>
      <t xml:space="preserve">천원 </t>
    </r>
    <r>
      <rPr>
        <sz val="11"/>
        <color theme="1"/>
        <rFont val="맑은 고딕"/>
        <family val="2"/>
        <charset val="129"/>
      </rPr>
      <t xml:space="preserve">+ (</t>
    </r>
    <r>
      <rPr>
        <sz val="11"/>
        <color theme="1"/>
        <rFont val="WenQuanYi Zen Hei"/>
        <family val="2"/>
      </rPr>
      <t xml:space="preserve">세종기준</t>
    </r>
    <r>
      <rPr>
        <sz val="11"/>
        <color theme="1"/>
        <rFont val="맑은 고딕"/>
        <family val="2"/>
        <charset val="129"/>
      </rPr>
      <t xml:space="preserve">) 2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2"/>
        <charset val="129"/>
      </rPr>
      <t xml:space="preserve">x1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2"/>
        <charset val="129"/>
      </rPr>
      <t xml:space="preserve">x125</t>
    </r>
    <r>
      <rPr>
        <sz val="11"/>
        <color theme="1"/>
        <rFont val="WenQuanYi Zen Hei"/>
        <family val="2"/>
      </rPr>
      <t xml:space="preserve">천원 </t>
    </r>
    <r>
      <rPr>
        <sz val="11"/>
        <color theme="1"/>
        <rFont val="맑은 고딕"/>
        <family val="2"/>
        <charset val="129"/>
      </rPr>
      <t xml:space="preserve">+ (</t>
    </r>
    <r>
      <rPr>
        <sz val="11"/>
        <color theme="1"/>
        <rFont val="WenQuanYi Zen Hei"/>
        <family val="2"/>
      </rPr>
      <t xml:space="preserve">전국평균</t>
    </r>
    <r>
      <rPr>
        <sz val="11"/>
        <color theme="1"/>
        <rFont val="맑은 고딕"/>
        <family val="2"/>
        <charset val="129"/>
      </rPr>
      <t xml:space="preserve">) 2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2"/>
        <charset val="129"/>
      </rPr>
      <t xml:space="preserve">x5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2"/>
        <charset val="129"/>
      </rPr>
      <t xml:space="preserve">x105</t>
    </r>
    <r>
      <rPr>
        <sz val="11"/>
        <color theme="1"/>
        <rFont val="WenQuanYi Zen Hei"/>
        <family val="2"/>
      </rPr>
      <t xml:space="preserve">천원</t>
    </r>
  </si>
  <si>
    <t xml:space="preserve">사택</t>
  </si>
  <si>
    <r>
      <rPr>
        <sz val="11"/>
        <color theme="1"/>
        <rFont val="맑은 고딕"/>
        <family val="2"/>
        <charset val="129"/>
      </rPr>
      <t xml:space="preserve">10-3-2. </t>
    </r>
    <r>
      <rPr>
        <sz val="11"/>
        <color theme="1"/>
        <rFont val="WenQuanYi Zen Hei"/>
        <family val="2"/>
      </rPr>
      <t xml:space="preserve">자산 구조개선 및 가치제고로 유동비율 관리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WenQuanYi Zen Hei"/>
        <family val="2"/>
      </rPr>
      <t xml:space="preserve">노무총무실</t>
    </r>
    <r>
      <rPr>
        <sz val="11"/>
        <color theme="1"/>
        <rFont val="맑은 고딕"/>
        <family val="2"/>
        <charset val="129"/>
      </rPr>
      <t xml:space="preserve">)</t>
    </r>
  </si>
  <si>
    <t xml:space="preserve">사택 소모품 구매</t>
  </si>
  <si>
    <r>
      <rPr>
        <sz val="11"/>
        <color theme="1"/>
        <rFont val="맑은 고딕"/>
        <family val="2"/>
        <charset val="129"/>
      </rPr>
      <t xml:space="preserve">= 70</t>
    </r>
    <r>
      <rPr>
        <sz val="11"/>
        <color theme="1"/>
        <rFont val="WenQuanYi Zen Hei"/>
        <family val="2"/>
      </rPr>
      <t xml:space="preserve">채</t>
    </r>
    <r>
      <rPr>
        <sz val="11"/>
        <color theme="1"/>
        <rFont val="맑은 고딕"/>
        <family val="2"/>
        <charset val="129"/>
      </rPr>
      <t xml:space="preserve">×100</t>
    </r>
    <r>
      <rPr>
        <sz val="11"/>
        <color theme="1"/>
        <rFont val="WenQuanYi Zen Hei"/>
        <family val="2"/>
      </rPr>
      <t xml:space="preserve">천원</t>
    </r>
  </si>
  <si>
    <t xml:space="preserve">기념품</t>
  </si>
  <si>
    <r>
      <rPr>
        <sz val="11"/>
        <color theme="1"/>
        <rFont val="맑은 고딕"/>
        <family val="2"/>
        <charset val="129"/>
      </rPr>
      <t xml:space="preserve">11-2-2. </t>
    </r>
    <r>
      <rPr>
        <sz val="11"/>
        <color theme="1"/>
        <rFont val="WenQuanYi Zen Hei"/>
        <family val="2"/>
      </rPr>
      <t xml:space="preserve">쾌적한 사무환경 구축 및 효율적 공간 조성 추진</t>
    </r>
  </si>
  <si>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WenQuanYi Zen Hei"/>
        <family val="2"/>
      </rPr>
      <t xml:space="preserve">행정지원 효율화</t>
    </r>
    <r>
      <rPr>
        <sz val="11"/>
        <color theme="1"/>
        <rFont val="맑은 고딕"/>
        <family val="2"/>
        <charset val="129"/>
      </rPr>
      <t xml:space="preserve">)  </t>
    </r>
    <r>
      <rPr>
        <sz val="11"/>
        <color theme="1"/>
        <rFont val="WenQuanYi Zen Hei"/>
        <family val="2"/>
      </rPr>
      <t xml:space="preserve">공단 기념품 구매 및 관리</t>
    </r>
  </si>
  <si>
    <r>
      <rPr>
        <sz val="11"/>
        <color theme="1"/>
        <rFont val="맑은 고딕"/>
        <family val="2"/>
        <charset val="129"/>
      </rPr>
      <t xml:space="preserve">= 300</t>
    </r>
    <r>
      <rPr>
        <sz val="11"/>
        <color theme="1"/>
        <rFont val="WenQuanYi Zen Hei"/>
        <family val="2"/>
      </rPr>
      <t xml:space="preserve">개</t>
    </r>
    <r>
      <rPr>
        <sz val="11"/>
        <color theme="1"/>
        <rFont val="맑은 고딕"/>
        <family val="2"/>
        <charset val="129"/>
      </rPr>
      <t xml:space="preserve">×30</t>
    </r>
    <r>
      <rPr>
        <sz val="11"/>
        <color theme="1"/>
        <rFont val="WenQuanYi Zen Hei"/>
        <family val="2"/>
      </rPr>
      <t xml:space="preserve">천원</t>
    </r>
    <r>
      <rPr>
        <sz val="11"/>
        <color theme="1"/>
        <rFont val="맑은 고딕"/>
        <family val="2"/>
        <charset val="129"/>
      </rPr>
      <t xml:space="preserve">×2</t>
    </r>
    <r>
      <rPr>
        <sz val="11"/>
        <color theme="1"/>
        <rFont val="WenQuanYi Zen Hei"/>
        <family val="2"/>
      </rPr>
      <t xml:space="preserve">회</t>
    </r>
  </si>
  <si>
    <t xml:space="preserve">달력</t>
  </si>
  <si>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WenQuanYi Zen Hei"/>
        <family val="2"/>
      </rPr>
      <t xml:space="preserve">친환경 업무환경 지원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WenQuanYi Zen Hei"/>
        <family val="2"/>
      </rPr>
      <t xml:space="preserve">임직원 다이어리 제작</t>
    </r>
  </si>
  <si>
    <r>
      <rPr>
        <sz val="11"/>
        <color theme="1"/>
        <rFont val="맑은 고딕"/>
        <family val="2"/>
        <charset val="129"/>
      </rPr>
      <t xml:space="preserve">= (</t>
    </r>
    <r>
      <rPr>
        <sz val="11"/>
        <color theme="1"/>
        <rFont val="WenQuanYi Zen Hei"/>
        <family val="2"/>
      </rPr>
      <t xml:space="preserve">탁상달력</t>
    </r>
    <r>
      <rPr>
        <sz val="11"/>
        <color theme="1"/>
        <rFont val="맑은 고딕"/>
        <family val="2"/>
        <charset val="129"/>
      </rPr>
      <t xml:space="preserve">) 1,900</t>
    </r>
    <r>
      <rPr>
        <sz val="11"/>
        <color theme="1"/>
        <rFont val="WenQuanYi Zen Hei"/>
        <family val="2"/>
      </rPr>
      <t xml:space="preserve">부</t>
    </r>
    <r>
      <rPr>
        <sz val="11"/>
        <color theme="1"/>
        <rFont val="맑은 고딕"/>
        <family val="2"/>
        <charset val="129"/>
      </rPr>
      <t xml:space="preserve">×12</t>
    </r>
    <r>
      <rPr>
        <sz val="11"/>
        <color theme="1"/>
        <rFont val="WenQuanYi Zen Hei"/>
        <family val="2"/>
      </rPr>
      <t xml:space="preserve">천원</t>
    </r>
  </si>
  <si>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WenQuanYi Zen Hei"/>
        <family val="2"/>
      </rPr>
      <t xml:space="preserve">친환경 업무환경 지원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WenQuanYi Zen Hei"/>
        <family val="2"/>
      </rPr>
      <t xml:space="preserve">임직원 달력 추가제작분</t>
    </r>
  </si>
  <si>
    <r>
      <rPr>
        <sz val="11"/>
        <color theme="1"/>
        <rFont val="맑은 고딕"/>
        <family val="2"/>
        <charset val="129"/>
      </rPr>
      <t xml:space="preserve">= (</t>
    </r>
    <r>
      <rPr>
        <sz val="11"/>
        <color theme="1"/>
        <rFont val="WenQuanYi Zen Hei"/>
        <family val="2"/>
      </rPr>
      <t xml:space="preserve">탁상달력</t>
    </r>
    <r>
      <rPr>
        <sz val="11"/>
        <color theme="1"/>
        <rFont val="맑은 고딕"/>
        <family val="2"/>
        <charset val="129"/>
      </rPr>
      <t xml:space="preserve">) 300</t>
    </r>
    <r>
      <rPr>
        <sz val="11"/>
        <color theme="1"/>
        <rFont val="WenQuanYi Zen Hei"/>
        <family val="2"/>
      </rPr>
      <t xml:space="preserve">부</t>
    </r>
    <r>
      <rPr>
        <sz val="11"/>
        <color theme="1"/>
        <rFont val="맑은 고딕"/>
        <family val="2"/>
        <charset val="129"/>
      </rPr>
      <t xml:space="preserve">×12</t>
    </r>
    <r>
      <rPr>
        <sz val="11"/>
        <color theme="1"/>
        <rFont val="WenQuanYi Zen Hei"/>
        <family val="2"/>
      </rPr>
      <t xml:space="preserve">천원</t>
    </r>
  </si>
  <si>
    <t xml:space="preserve">수첩, 달력 1년 단위 지급</t>
  </si>
  <si>
    <t xml:space="preserve">정보시스템</t>
  </si>
  <si>
    <r>
      <rPr>
        <sz val="11"/>
        <color theme="1"/>
        <rFont val="맑은 고딕"/>
        <family val="2"/>
        <charset val="129"/>
      </rPr>
      <t xml:space="preserve">12-</t>
    </r>
    <r>
      <rPr>
        <sz val="11"/>
        <color theme="1"/>
        <rFont val="WenQuanYi Zen Hei"/>
        <family val="2"/>
      </rPr>
      <t xml:space="preserve">아</t>
    </r>
    <r>
      <rPr>
        <sz val="11"/>
        <color theme="1"/>
        <rFont val="맑은 고딕"/>
        <family val="2"/>
        <charset val="129"/>
      </rPr>
      <t xml:space="preserve">. </t>
    </r>
    <r>
      <rPr>
        <sz val="11"/>
        <color theme="1"/>
        <rFont val="WenQuanYi Zen Hei"/>
        <family val="2"/>
      </rPr>
      <t xml:space="preserve">문서회신시스템 구축으로 행정 간소화 실현</t>
    </r>
  </si>
  <si>
    <r>
      <rPr>
        <sz val="11"/>
        <color theme="1"/>
        <rFont val="맑은 고딕"/>
        <family val="2"/>
        <charset val="129"/>
      </rPr>
      <t xml:space="preserve">2-1-4. </t>
    </r>
    <r>
      <rPr>
        <sz val="11"/>
        <color theme="1"/>
        <rFont val="WenQuanYi Zen Hei"/>
        <family val="2"/>
      </rPr>
      <t xml:space="preserve">디지털지원실</t>
    </r>
  </si>
  <si>
    <r>
      <rPr>
        <sz val="11"/>
        <color theme="1"/>
        <rFont val="맑은 고딕"/>
        <family val="2"/>
        <charset val="129"/>
      </rPr>
      <t xml:space="preserve">12-7-2. </t>
    </r>
    <r>
      <rPr>
        <sz val="11"/>
        <color theme="1"/>
        <rFont val="WenQuanYi Zen Hei"/>
        <family val="2"/>
      </rPr>
      <t xml:space="preserve">안정적인 디지털 행정환경 조성을 위한 인프라 운영관리</t>
    </r>
  </si>
  <si>
    <t xml:space="preserve">관리용역비</t>
  </si>
  <si>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WenQuanYi Zen Hei"/>
        <family val="2"/>
      </rPr>
      <t xml:space="preserve">유지관리 실시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WenQuanYi Zen Hei"/>
        <family val="2"/>
      </rPr>
      <t xml:space="preserve">정보시스템 통합유지관리 용역</t>
    </r>
  </si>
  <si>
    <r>
      <rPr>
        <sz val="11"/>
        <color theme="1"/>
        <rFont val="맑은 고딕"/>
        <family val="2"/>
        <charset val="129"/>
      </rPr>
      <t xml:space="preserve">=12</t>
    </r>
    <r>
      <rPr>
        <sz val="11"/>
        <color theme="1"/>
        <rFont val="WenQuanYi Zen Hei"/>
        <family val="2"/>
      </rPr>
      <t xml:space="preserve">월</t>
    </r>
    <r>
      <rPr>
        <sz val="11"/>
        <color theme="1"/>
        <rFont val="맑은 고딕"/>
        <family val="2"/>
        <charset val="129"/>
      </rPr>
      <t xml:space="preserve">×124,227</t>
    </r>
    <r>
      <rPr>
        <sz val="11"/>
        <color theme="1"/>
        <rFont val="WenQuanYi Zen Hei"/>
        <family val="2"/>
      </rPr>
      <t xml:space="preserve">천원</t>
    </r>
  </si>
  <si>
    <r>
      <rPr>
        <sz val="11"/>
        <color theme="1"/>
        <rFont val="맑은 고딕"/>
        <family val="2"/>
        <charset val="129"/>
      </rPr>
      <t xml:space="preserve">MS</t>
    </r>
    <r>
      <rPr>
        <sz val="11"/>
        <color theme="1"/>
        <rFont val="WenQuanYi Zen Hei"/>
        <family val="2"/>
      </rPr>
      <t xml:space="preserve">오피스</t>
    </r>
  </si>
  <si>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WenQuanYi Zen Hei"/>
        <family val="2"/>
      </rPr>
      <t xml:space="preserve">행정환경 제공</t>
    </r>
    <r>
      <rPr>
        <sz val="11"/>
        <color theme="1"/>
        <rFont val="맑은 고딕"/>
        <family val="2"/>
        <charset val="129"/>
      </rPr>
      <t xml:space="preserve">) MS</t>
    </r>
    <r>
      <rPr>
        <sz val="11"/>
        <color theme="1"/>
        <rFont val="WenQuanYi Zen Hei"/>
        <family val="2"/>
      </rPr>
      <t xml:space="preserve">오피스 라이선스 갱신</t>
    </r>
  </si>
  <si>
    <r>
      <rPr>
        <sz val="11"/>
        <color theme="1"/>
        <rFont val="맑은 고딕"/>
        <family val="2"/>
        <charset val="129"/>
      </rPr>
      <t xml:space="preserve">= 360</t>
    </r>
    <r>
      <rPr>
        <sz val="11"/>
        <color theme="1"/>
        <rFont val="WenQuanYi Zen Hei"/>
        <family val="2"/>
      </rPr>
      <t xml:space="preserve">개</t>
    </r>
    <r>
      <rPr>
        <sz val="11"/>
        <color theme="1"/>
        <rFont val="맑은 고딕"/>
        <family val="2"/>
        <charset val="129"/>
      </rPr>
      <t xml:space="preserve">×276</t>
    </r>
    <r>
      <rPr>
        <sz val="11"/>
        <color theme="1"/>
        <rFont val="WenQuanYi Zen Hei"/>
        <family val="2"/>
      </rPr>
      <t xml:space="preserve">천원</t>
    </r>
  </si>
  <si>
    <r>
      <rPr>
        <sz val="11"/>
        <color theme="1"/>
        <rFont val="맑은 고딕"/>
        <family val="2"/>
        <charset val="129"/>
      </rPr>
      <t xml:space="preserve">=360</t>
    </r>
    <r>
      <rPr>
        <sz val="11"/>
        <color theme="1"/>
        <rFont val="WenQuanYi Zen Hei"/>
        <family val="2"/>
      </rPr>
      <t xml:space="preserve">개</t>
    </r>
    <r>
      <rPr>
        <sz val="11"/>
        <color theme="1"/>
        <rFont val="맑은 고딕"/>
        <family val="2"/>
        <charset val="129"/>
      </rPr>
      <t xml:space="preserve">×276</t>
    </r>
    <r>
      <rPr>
        <sz val="11"/>
        <color theme="1"/>
        <rFont val="WenQuanYi Zen Hei"/>
        <family val="2"/>
      </rPr>
      <t xml:space="preserve">천원</t>
    </r>
  </si>
  <si>
    <r>
      <rPr>
        <sz val="11"/>
        <color theme="1"/>
        <rFont val="맑은 고딕"/>
        <family val="2"/>
        <charset val="129"/>
      </rPr>
      <t xml:space="preserve">5</t>
    </r>
    <r>
      <rPr>
        <sz val="11"/>
        <color theme="1"/>
        <rFont val="WenQuanYi Zen Hei"/>
        <family val="2"/>
      </rPr>
      <t xml:space="preserve">월</t>
    </r>
  </si>
  <si>
    <t xml:space="preserve">한컴오피스</t>
  </si>
  <si>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WenQuanYi Zen Hei"/>
        <family val="2"/>
      </rPr>
      <t xml:space="preserve">행정환경 제공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WenQuanYi Zen Hei"/>
        <family val="2"/>
      </rPr>
      <t xml:space="preserve">한컴오피스 라이선스 갱신</t>
    </r>
  </si>
  <si>
    <r>
      <rPr>
        <sz val="11"/>
        <color theme="1"/>
        <rFont val="맑은 고딕"/>
        <family val="2"/>
        <charset val="129"/>
      </rPr>
      <t xml:space="preserve">= 550</t>
    </r>
    <r>
      <rPr>
        <sz val="11"/>
        <color theme="1"/>
        <rFont val="WenQuanYi Zen Hei"/>
        <family val="2"/>
      </rPr>
      <t xml:space="preserve">개</t>
    </r>
    <r>
      <rPr>
        <sz val="11"/>
        <color theme="1"/>
        <rFont val="맑은 고딕"/>
        <family val="2"/>
        <charset val="129"/>
      </rPr>
      <t xml:space="preserve">×92</t>
    </r>
    <r>
      <rPr>
        <sz val="11"/>
        <color theme="1"/>
        <rFont val="WenQuanYi Zen Hei"/>
        <family val="2"/>
      </rPr>
      <t xml:space="preserve">천원</t>
    </r>
  </si>
  <si>
    <r>
      <rPr>
        <sz val="11"/>
        <color theme="1"/>
        <rFont val="맑은 고딕"/>
        <family val="2"/>
        <charset val="129"/>
      </rPr>
      <t xml:space="preserve">=450</t>
    </r>
    <r>
      <rPr>
        <sz val="11"/>
        <color theme="1"/>
        <rFont val="WenQuanYi Zen Hei"/>
        <family val="2"/>
      </rPr>
      <t xml:space="preserve">개</t>
    </r>
    <r>
      <rPr>
        <sz val="11"/>
        <color theme="1"/>
        <rFont val="맑은 고딕"/>
        <family val="2"/>
        <charset val="129"/>
      </rPr>
      <t xml:space="preserve">×106</t>
    </r>
    <r>
      <rPr>
        <sz val="11"/>
        <color theme="1"/>
        <rFont val="WenQuanYi Zen Hei"/>
        <family val="2"/>
      </rPr>
      <t xml:space="preserve">천원</t>
    </r>
  </si>
  <si>
    <t xml:space="preserve">안전주간</t>
  </si>
  <si>
    <r>
      <rPr>
        <sz val="11"/>
        <color theme="1"/>
        <rFont val="맑은 고딕"/>
        <family val="2"/>
        <charset val="129"/>
      </rPr>
      <t xml:space="preserve">4-2-1. </t>
    </r>
    <r>
      <rPr>
        <sz val="11"/>
        <color theme="1"/>
        <rFont val="WenQuanYi Zen Hei"/>
        <family val="2"/>
      </rPr>
      <t xml:space="preserve">문화홍보실</t>
    </r>
  </si>
  <si>
    <r>
      <rPr>
        <sz val="11"/>
        <color theme="1"/>
        <rFont val="맑은 고딕"/>
        <family val="2"/>
        <charset val="129"/>
      </rPr>
      <t xml:space="preserve">7-1-1. </t>
    </r>
    <r>
      <rPr>
        <sz val="11"/>
        <color theme="1"/>
        <rFont val="WenQuanYi Zen Hei"/>
        <family val="2"/>
      </rPr>
      <t xml:space="preserve">국내 승강기 안전주간 주관</t>
    </r>
  </si>
  <si>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WenQuanYi Zen Hei"/>
        <family val="2"/>
      </rPr>
      <t xml:space="preserve">예산운용</t>
    </r>
    <r>
      <rPr>
        <sz val="11"/>
        <color theme="1"/>
        <rFont val="맑은 고딕"/>
        <family val="2"/>
        <charset val="129"/>
      </rPr>
      <t xml:space="preserve">)</t>
    </r>
    <r>
      <rPr>
        <sz val="11"/>
        <color theme="1"/>
        <rFont val="WenQuanYi Zen Hei"/>
        <family val="2"/>
      </rPr>
      <t xml:space="preserve">승강기안전주간공모전 홍보 대행</t>
    </r>
  </si>
  <si>
    <r>
      <rPr>
        <sz val="11"/>
        <color theme="1"/>
        <rFont val="맑은 고딕"/>
        <family val="2"/>
        <charset val="129"/>
      </rPr>
      <t xml:space="preserve">= 1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2"/>
        <charset val="129"/>
      </rPr>
      <t xml:space="preserve">×5,000(</t>
    </r>
    <r>
      <rPr>
        <sz val="11"/>
        <color theme="1"/>
        <rFont val="WenQuanYi Zen Hei"/>
        <family val="2"/>
      </rPr>
      <t xml:space="preserve">천원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</si>
  <si>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WenQuanYi Zen Hei"/>
        <family val="2"/>
      </rPr>
      <t xml:space="preserve">예산운용</t>
    </r>
    <r>
      <rPr>
        <sz val="11"/>
        <color theme="1"/>
        <rFont val="맑은 고딕"/>
        <family val="2"/>
        <charset val="129"/>
      </rPr>
      <t xml:space="preserve">)</t>
    </r>
    <r>
      <rPr>
        <sz val="11"/>
        <color theme="1"/>
        <rFont val="WenQuanYi Zen Hei"/>
        <family val="2"/>
      </rPr>
      <t xml:space="preserve">승강기 안전주간 물품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WenQuanYi Zen Hei"/>
        <family val="2"/>
      </rPr>
      <t xml:space="preserve">기념품 등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</si>
  <si>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맑은 고딕"/>
        <family val="2"/>
        <charset val="129"/>
      </rPr>
      <t xml:space="preserve">= 1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2"/>
        <charset val="129"/>
      </rPr>
      <t xml:space="preserve">×1,000(</t>
    </r>
    <r>
      <rPr>
        <sz val="11"/>
        <color theme="1"/>
        <rFont val="WenQuanYi Zen Hei"/>
        <family val="2"/>
      </rPr>
      <t xml:space="preserve">천원</t>
    </r>
    <r>
      <rPr>
        <sz val="11"/>
        <color theme="1"/>
        <rFont val="맑은 고딕"/>
        <family val="2"/>
        <charset val="129"/>
      </rPr>
      <t xml:space="preserve">)</t>
    </r>
  </si>
  <si>
    <t xml:space="preserve">공익광고</t>
  </si>
  <si>
    <r>
      <rPr>
        <sz val="11"/>
        <color theme="1"/>
        <rFont val="맑은 고딕"/>
        <family val="2"/>
        <charset val="129"/>
      </rPr>
      <t xml:space="preserve">7-1-2. </t>
    </r>
    <r>
      <rPr>
        <sz val="11"/>
        <color theme="1"/>
        <rFont val="WenQuanYi Zen Hei"/>
        <family val="2"/>
      </rPr>
      <t xml:space="preserve">다양한 홍보채널을 활용한 안전홍보 활동</t>
    </r>
  </si>
  <si>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WenQuanYi Zen Hei"/>
        <family val="2"/>
      </rPr>
      <t xml:space="preserve">대중미디어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WenQuanYi Zen Hei"/>
        <family val="2"/>
      </rPr>
      <t xml:space="preserve">공익광고 영상물 저작권 계약 연장</t>
    </r>
  </si>
  <si>
    <r>
      <rPr>
        <sz val="11"/>
        <color theme="1"/>
        <rFont val="맑은 고딕"/>
        <family val="2"/>
        <charset val="129"/>
      </rPr>
      <t xml:space="preserve">= 1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2"/>
        <charset val="129"/>
      </rPr>
      <t xml:space="preserve">×5,000</t>
    </r>
    <r>
      <rPr>
        <sz val="11"/>
        <color theme="1"/>
        <rFont val="WenQuanYi Zen Hei"/>
        <family val="2"/>
      </rPr>
      <t xml:space="preserve">천원</t>
    </r>
  </si>
  <si>
    <t xml:space="preserve">신문광고</t>
  </si>
  <si>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WenQuanYi Zen Hei"/>
        <family val="2"/>
      </rPr>
      <t xml:space="preserve">인쇄매체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WenQuanYi Zen Hei"/>
        <family val="2"/>
      </rPr>
      <t xml:space="preserve">신문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WenQuanYi Zen Hei"/>
        <family val="2"/>
      </rPr>
      <t xml:space="preserve">잡지 광고 및 특별기고</t>
    </r>
  </si>
  <si>
    <r>
      <rPr>
        <sz val="11"/>
        <color theme="1"/>
        <rFont val="맑은 고딕"/>
        <family val="2"/>
        <charset val="129"/>
      </rPr>
      <t xml:space="preserve">= (</t>
    </r>
    <r>
      <rPr>
        <sz val="11"/>
        <color theme="1"/>
        <rFont val="WenQuanYi Zen Hei"/>
        <family val="2"/>
      </rPr>
      <t xml:space="preserve">신문광고 평균</t>
    </r>
    <r>
      <rPr>
        <sz val="11"/>
        <color theme="1"/>
        <rFont val="맑은 고딕"/>
        <family val="2"/>
        <charset val="129"/>
      </rPr>
      <t xml:space="preserve">) 60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2"/>
        <charset val="129"/>
      </rPr>
      <t xml:space="preserve">×2,125</t>
    </r>
    <r>
      <rPr>
        <sz val="11"/>
        <color theme="1"/>
        <rFont val="WenQuanYi Zen Hei"/>
        <family val="2"/>
      </rPr>
      <t xml:space="preserve">천원 </t>
    </r>
    <r>
      <rPr>
        <sz val="11"/>
        <color theme="1"/>
        <rFont val="맑은 고딕"/>
        <family val="2"/>
        <charset val="129"/>
      </rPr>
      <t xml:space="preserve">+ (</t>
    </r>
    <r>
      <rPr>
        <sz val="11"/>
        <color theme="1"/>
        <rFont val="WenQuanYi Zen Hei"/>
        <family val="2"/>
      </rPr>
      <t xml:space="preserve">특별기고</t>
    </r>
    <r>
      <rPr>
        <sz val="11"/>
        <color theme="1"/>
        <rFont val="맑은 고딕"/>
        <family val="2"/>
        <charset val="129"/>
      </rPr>
      <t xml:space="preserve">) 1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2"/>
        <charset val="129"/>
      </rPr>
      <t xml:space="preserve">×15,000</t>
    </r>
    <r>
      <rPr>
        <sz val="11"/>
        <color theme="1"/>
        <rFont val="WenQuanYi Zen Hei"/>
        <family val="2"/>
      </rPr>
      <t xml:space="preserve">천원</t>
    </r>
  </si>
  <si>
    <t xml:space="preserve">옥외광고</t>
  </si>
  <si>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WenQuanYi Zen Hei"/>
        <family val="2"/>
      </rPr>
      <t xml:space="preserve">기타매체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WenQuanYi Zen Hei"/>
        <family val="2"/>
      </rPr>
      <t xml:space="preserve">옥외전광판 광고</t>
    </r>
  </si>
  <si>
    <r>
      <rPr>
        <sz val="11"/>
        <color theme="1"/>
        <rFont val="맑은 고딕"/>
        <family val="2"/>
        <charset val="129"/>
      </rPr>
      <t xml:space="preserve">= 12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2"/>
        <charset val="129"/>
      </rPr>
      <t xml:space="preserve">×500</t>
    </r>
    <r>
      <rPr>
        <sz val="11"/>
        <color theme="1"/>
        <rFont val="WenQuanYi Zen Hei"/>
        <family val="2"/>
      </rPr>
      <t xml:space="preserve">천원</t>
    </r>
  </si>
  <si>
    <t xml:space="preserve">엘리베이터TV</t>
  </si>
  <si>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WenQuanYi Zen Hei"/>
        <family val="2"/>
      </rPr>
      <t xml:space="preserve">기타매체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WenQuanYi Zen Hei"/>
        <family val="2"/>
      </rPr>
      <t xml:space="preserve">엘리베이터</t>
    </r>
    <r>
      <rPr>
        <sz val="11"/>
        <color theme="1"/>
        <rFont val="맑은 고딕"/>
        <family val="2"/>
        <charset val="129"/>
      </rPr>
      <t xml:space="preserve">TV </t>
    </r>
    <r>
      <rPr>
        <sz val="11"/>
        <color theme="1"/>
        <rFont val="WenQuanYi Zen Hei"/>
        <family val="2"/>
      </rPr>
      <t xml:space="preserve">광고</t>
    </r>
  </si>
  <si>
    <r>
      <rPr>
        <sz val="11"/>
        <color theme="1"/>
        <rFont val="맑은 고딕"/>
        <family val="2"/>
        <charset val="129"/>
      </rPr>
      <t xml:space="preserve">= 2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2"/>
        <charset val="129"/>
      </rPr>
      <t xml:space="preserve">×25,000</t>
    </r>
    <r>
      <rPr>
        <sz val="11"/>
        <color theme="1"/>
        <rFont val="WenQuanYi Zen Hei"/>
        <family val="2"/>
      </rPr>
      <t xml:space="preserve">천원</t>
    </r>
  </si>
  <si>
    <t xml:space="preserve">홍보영상</t>
  </si>
  <si>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WenQuanYi Zen Hei"/>
        <family val="2"/>
      </rPr>
      <t xml:space="preserve">기타매체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WenQuanYi Zen Hei"/>
        <family val="2"/>
      </rPr>
      <t xml:space="preserve">공익광고 및 안전캠페인 홍보영상 제작</t>
    </r>
  </si>
  <si>
    <t xml:space="preserve">열차광고</t>
  </si>
  <si>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WenQuanYi Zen Hei"/>
        <family val="2"/>
      </rPr>
      <t xml:space="preserve">기타매체</t>
    </r>
    <r>
      <rPr>
        <sz val="11"/>
        <color theme="1"/>
        <rFont val="맑은 고딕"/>
        <family val="2"/>
        <charset val="129"/>
      </rPr>
      <t xml:space="preserve">) KTX, SRT </t>
    </r>
    <r>
      <rPr>
        <sz val="11"/>
        <color theme="1"/>
        <rFont val="WenQuanYi Zen Hei"/>
        <family val="2"/>
      </rPr>
      <t xml:space="preserve">열차 내 미디어 홍보</t>
    </r>
  </si>
  <si>
    <r>
      <rPr>
        <sz val="11"/>
        <color theme="1"/>
        <rFont val="맑은 고딕"/>
        <family val="2"/>
        <charset val="129"/>
      </rPr>
      <t xml:space="preserve">= 1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2"/>
        <charset val="129"/>
      </rPr>
      <t xml:space="preserve">x30,000</t>
    </r>
    <r>
      <rPr>
        <sz val="11"/>
        <color theme="1"/>
        <rFont val="WenQuanYi Zen Hei"/>
        <family val="2"/>
      </rPr>
      <t xml:space="preserve">천원</t>
    </r>
  </si>
  <si>
    <t xml:space="preserve">이슈대응홍보</t>
  </si>
  <si>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WenQuanYi Zen Hei"/>
        <family val="2"/>
      </rPr>
      <t xml:space="preserve">기타매체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WenQuanYi Zen Hei"/>
        <family val="2"/>
      </rPr>
      <t xml:space="preserve">대외 이슈대응 홍보콘텐츠 제작 및 송출</t>
    </r>
  </si>
  <si>
    <r>
      <rPr>
        <sz val="11"/>
        <color theme="1"/>
        <rFont val="맑은 고딕"/>
        <family val="2"/>
        <charset val="129"/>
      </rPr>
      <t xml:space="preserve">= 4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2"/>
        <charset val="129"/>
      </rPr>
      <t xml:space="preserve">×5,000</t>
    </r>
    <r>
      <rPr>
        <sz val="11"/>
        <color theme="1"/>
        <rFont val="WenQuanYi Zen Hei"/>
        <family val="2"/>
      </rPr>
      <t xml:space="preserve">천원</t>
    </r>
  </si>
  <si>
    <t xml:space="preserve">유튜브</t>
  </si>
  <si>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WenQuanYi Zen Hei"/>
        <family val="2"/>
      </rPr>
      <t xml:space="preserve">온라인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WenQuanYi Zen Hei"/>
        <family val="2"/>
      </rPr>
      <t xml:space="preserve">유튜브 안전홍보 콘텐츠 제작 </t>
    </r>
  </si>
  <si>
    <r>
      <rPr>
        <sz val="11"/>
        <color theme="1"/>
        <rFont val="맑은 고딕"/>
        <family val="2"/>
        <charset val="129"/>
      </rPr>
      <t xml:space="preserve">= (</t>
    </r>
    <r>
      <rPr>
        <sz val="11"/>
        <color theme="1"/>
        <rFont val="WenQuanYi Zen Hei"/>
        <family val="2"/>
      </rPr>
      <t xml:space="preserve">정기 콘텐츠</t>
    </r>
    <r>
      <rPr>
        <sz val="11"/>
        <color theme="1"/>
        <rFont val="맑은 고딕"/>
        <family val="2"/>
        <charset val="129"/>
      </rPr>
      <t xml:space="preserve">) 300</t>
    </r>
    <r>
      <rPr>
        <sz val="11"/>
        <color theme="1"/>
        <rFont val="WenQuanYi Zen Hei"/>
        <family val="2"/>
      </rPr>
      <t xml:space="preserve">천원</t>
    </r>
    <r>
      <rPr>
        <sz val="11"/>
        <color theme="1"/>
        <rFont val="맑은 고딕"/>
        <family val="2"/>
        <charset val="129"/>
      </rPr>
      <t xml:space="preserve">×12</t>
    </r>
    <r>
      <rPr>
        <sz val="11"/>
        <color theme="1"/>
        <rFont val="WenQuanYi Zen Hei"/>
        <family val="2"/>
      </rPr>
      <t xml:space="preserve">개월</t>
    </r>
    <r>
      <rPr>
        <sz val="11"/>
        <color theme="1"/>
        <rFont val="맑은 고딕"/>
        <family val="2"/>
        <charset val="129"/>
      </rPr>
      <t xml:space="preserve">×</t>
    </r>
    <r>
      <rPr>
        <sz val="11"/>
        <color theme="1"/>
        <rFont val="WenQuanYi Zen Hei"/>
        <family val="2"/>
      </rPr>
      <t xml:space="preserve">월 </t>
    </r>
    <r>
      <rPr>
        <sz val="11"/>
        <color theme="1"/>
        <rFont val="맑은 고딕"/>
        <family val="2"/>
        <charset val="129"/>
      </rPr>
      <t xml:space="preserve">4</t>
    </r>
    <r>
      <rPr>
        <sz val="11"/>
        <color theme="1"/>
        <rFont val="WenQuanYi Zen Hei"/>
        <family val="2"/>
      </rPr>
      <t xml:space="preserve">회 </t>
    </r>
    <r>
      <rPr>
        <sz val="11"/>
        <color theme="1"/>
        <rFont val="맑은 고딕"/>
        <family val="2"/>
        <charset val="129"/>
      </rPr>
      <t xml:space="preserve">+ (</t>
    </r>
    <r>
      <rPr>
        <sz val="11"/>
        <color theme="1"/>
        <rFont val="WenQuanYi Zen Hei"/>
        <family val="2"/>
      </rPr>
      <t xml:space="preserve">이슈대응 콘텐츠</t>
    </r>
    <r>
      <rPr>
        <sz val="11"/>
        <color theme="1"/>
        <rFont val="맑은 고딕"/>
        <family val="2"/>
        <charset val="129"/>
      </rPr>
      <t xml:space="preserve">) 500</t>
    </r>
    <r>
      <rPr>
        <sz val="11"/>
        <color theme="1"/>
        <rFont val="WenQuanYi Zen Hei"/>
        <family val="2"/>
      </rPr>
      <t xml:space="preserve">천원</t>
    </r>
    <r>
      <rPr>
        <sz val="11"/>
        <color theme="1"/>
        <rFont val="맑은 고딕"/>
        <family val="2"/>
        <charset val="129"/>
      </rPr>
      <t xml:space="preserve">×2</t>
    </r>
    <r>
      <rPr>
        <sz val="11"/>
        <color theme="1"/>
        <rFont val="WenQuanYi Zen Hei"/>
        <family val="2"/>
      </rPr>
      <t xml:space="preserve">회
</t>
    </r>
    <r>
      <rPr>
        <sz val="11"/>
        <color theme="1"/>
        <rFont val="맑은 고딕"/>
        <family val="2"/>
        <charset val="129"/>
      </rPr>
      <t xml:space="preserve">'= </t>
    </r>
    <r>
      <rPr>
        <sz val="11"/>
        <color theme="1"/>
        <rFont val="WenQuanYi Zen Hei"/>
        <family val="2"/>
      </rPr>
      <t xml:space="preserve">유튜브 국민 참여 이벤트 </t>
    </r>
    <r>
      <rPr>
        <sz val="11"/>
        <color theme="1"/>
        <rFont val="맑은 고딕"/>
        <family val="2"/>
        <charset val="129"/>
      </rPr>
      <t xml:space="preserve">300</t>
    </r>
    <r>
      <rPr>
        <sz val="11"/>
        <color theme="1"/>
        <rFont val="WenQuanYi Zen Hei"/>
        <family val="2"/>
      </rPr>
      <t xml:space="preserve">천원</t>
    </r>
    <r>
      <rPr>
        <sz val="11"/>
        <color theme="1"/>
        <rFont val="맑은 고딕"/>
        <family val="2"/>
        <charset val="129"/>
      </rPr>
      <t xml:space="preserve">×12</t>
    </r>
    <r>
      <rPr>
        <sz val="11"/>
        <color theme="1"/>
        <rFont val="WenQuanYi Zen Hei"/>
        <family val="2"/>
      </rPr>
      <t xml:space="preserve">회</t>
    </r>
  </si>
  <si>
    <r>
      <rPr>
        <sz val="11"/>
        <color theme="1"/>
        <rFont val="맑은 고딕"/>
        <family val="2"/>
        <charset val="129"/>
      </rPr>
      <t xml:space="preserve">= (</t>
    </r>
    <r>
      <rPr>
        <sz val="11"/>
        <color theme="1"/>
        <rFont val="WenQuanYi Zen Hei"/>
        <family val="2"/>
      </rPr>
      <t xml:space="preserve">정기 콘텐츠</t>
    </r>
    <r>
      <rPr>
        <sz val="11"/>
        <color theme="1"/>
        <rFont val="맑은 고딕"/>
        <family val="2"/>
        <charset val="129"/>
      </rPr>
      <t xml:space="preserve">) 300</t>
    </r>
    <r>
      <rPr>
        <sz val="11"/>
        <color theme="1"/>
        <rFont val="WenQuanYi Zen Hei"/>
        <family val="2"/>
      </rPr>
      <t xml:space="preserve">천원</t>
    </r>
    <r>
      <rPr>
        <sz val="11"/>
        <color theme="1"/>
        <rFont val="맑은 고딕"/>
        <family val="2"/>
        <charset val="129"/>
      </rPr>
      <t xml:space="preserve">×12</t>
    </r>
    <r>
      <rPr>
        <sz val="11"/>
        <color theme="1"/>
        <rFont val="WenQuanYi Zen Hei"/>
        <family val="2"/>
      </rPr>
      <t xml:space="preserve">개월</t>
    </r>
    <r>
      <rPr>
        <sz val="11"/>
        <color theme="1"/>
        <rFont val="맑은 고딕"/>
        <family val="2"/>
        <charset val="129"/>
      </rPr>
      <t xml:space="preserve">×</t>
    </r>
    <r>
      <rPr>
        <sz val="11"/>
        <color theme="1"/>
        <rFont val="WenQuanYi Zen Hei"/>
        <family val="2"/>
      </rPr>
      <t xml:space="preserve">월 </t>
    </r>
    <r>
      <rPr>
        <sz val="11"/>
        <color theme="1"/>
        <rFont val="맑은 고딕"/>
        <family val="2"/>
        <charset val="129"/>
      </rPr>
      <t xml:space="preserve">4</t>
    </r>
    <r>
      <rPr>
        <sz val="11"/>
        <color theme="1"/>
        <rFont val="WenQuanYi Zen Hei"/>
        <family val="2"/>
      </rPr>
      <t xml:space="preserve">회 </t>
    </r>
    <r>
      <rPr>
        <sz val="11"/>
        <color theme="1"/>
        <rFont val="맑은 고딕"/>
        <family val="2"/>
        <charset val="129"/>
      </rPr>
      <t xml:space="preserve">+ (</t>
    </r>
    <r>
      <rPr>
        <sz val="11"/>
        <color theme="1"/>
        <rFont val="WenQuanYi Zen Hei"/>
        <family val="2"/>
      </rPr>
      <t xml:space="preserve">이슈대응 콘텐츠</t>
    </r>
    <r>
      <rPr>
        <sz val="11"/>
        <color theme="1"/>
        <rFont val="맑은 고딕"/>
        <family val="2"/>
        <charset val="129"/>
      </rPr>
      <t xml:space="preserve">) 500</t>
    </r>
    <r>
      <rPr>
        <sz val="11"/>
        <color theme="1"/>
        <rFont val="WenQuanYi Zen Hei"/>
        <family val="2"/>
      </rPr>
      <t xml:space="preserve">천원</t>
    </r>
    <r>
      <rPr>
        <sz val="11"/>
        <color theme="1"/>
        <rFont val="맑은 고딕"/>
        <family val="2"/>
        <charset val="129"/>
      </rPr>
      <t xml:space="preserve">×2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2"/>
        <charset val="129"/>
      </rPr>
      <t xml:space="preserve">+ </t>
    </r>
    <r>
      <rPr>
        <sz val="11"/>
        <color theme="1"/>
        <rFont val="WenQuanYi Zen Hei"/>
        <family val="2"/>
      </rPr>
      <t xml:space="preserve">유튜브 국민 참여 이벤트 </t>
    </r>
    <r>
      <rPr>
        <sz val="11"/>
        <color theme="1"/>
        <rFont val="맑은 고딕"/>
        <family val="2"/>
        <charset val="129"/>
      </rPr>
      <t xml:space="preserve">300</t>
    </r>
    <r>
      <rPr>
        <sz val="11"/>
        <color theme="1"/>
        <rFont val="WenQuanYi Zen Hei"/>
        <family val="2"/>
      </rPr>
      <t xml:space="preserve">천원</t>
    </r>
    <r>
      <rPr>
        <sz val="11"/>
        <color theme="1"/>
        <rFont val="맑은 고딕"/>
        <family val="2"/>
        <charset val="129"/>
      </rPr>
      <t xml:space="preserve">×12</t>
    </r>
    <r>
      <rPr>
        <sz val="11"/>
        <color theme="1"/>
        <rFont val="WenQuanYi Zen Hei"/>
        <family val="2"/>
      </rPr>
      <t xml:space="preserve">회</t>
    </r>
  </si>
  <si>
    <t xml:space="preserve">협업홍보물</t>
  </si>
  <si>
    <r>
      <rPr>
        <sz val="11"/>
        <color theme="1"/>
        <rFont val="맑은 고딕"/>
        <family val="2"/>
        <charset val="129"/>
      </rPr>
      <t xml:space="preserve">7-2-1. </t>
    </r>
    <r>
      <rPr>
        <sz val="11"/>
        <color theme="1"/>
        <rFont val="WenQuanYi Zen Hei"/>
        <family val="2"/>
      </rPr>
      <t xml:space="preserve">유관기관 협업을 통한 승강기 이용자 안전홍보 확대</t>
    </r>
  </si>
  <si>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WenQuanYi Zen Hei"/>
        <family val="2"/>
      </rPr>
      <t xml:space="preserve">홍보협의회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WenQuanYi Zen Hei"/>
        <family val="2"/>
      </rPr>
      <t xml:space="preserve">유관기관 협업 홍보물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WenQuanYi Zen Hei"/>
        <family val="2"/>
      </rPr>
      <t xml:space="preserve">포스터 및 스티커 등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WenQuanYi Zen Hei"/>
        <family val="2"/>
      </rPr>
      <t xml:space="preserve">제작</t>
    </r>
  </si>
  <si>
    <r>
      <rPr>
        <sz val="11"/>
        <color theme="1"/>
        <rFont val="맑은 고딕"/>
        <family val="2"/>
        <charset val="129"/>
      </rPr>
      <t xml:space="preserve">= 1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2"/>
        <charset val="129"/>
      </rPr>
      <t xml:space="preserve">×10,000</t>
    </r>
    <r>
      <rPr>
        <sz val="11"/>
        <color theme="1"/>
        <rFont val="WenQuanYi Zen Hei"/>
        <family val="2"/>
      </rPr>
      <t xml:space="preserve">천원</t>
    </r>
  </si>
  <si>
    <t xml:space="preserve">지역축제</t>
  </si>
  <si>
    <r>
      <rPr>
        <sz val="11"/>
        <color theme="1"/>
        <rFont val="맑은 고딕"/>
        <family val="2"/>
        <charset val="129"/>
      </rPr>
      <t xml:space="preserve">12-5-1. </t>
    </r>
    <r>
      <rPr>
        <sz val="11"/>
        <color theme="1"/>
        <rFont val="WenQuanYi Zen Hei"/>
        <family val="2"/>
      </rPr>
      <t xml:space="preserve">맞춤형 지역사회 상생활동 추진</t>
    </r>
  </si>
  <si>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WenQuanYi Zen Hei"/>
        <family val="2"/>
      </rPr>
      <t xml:space="preserve">지역사회 공헌활동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WenQuanYi Zen Hei"/>
        <family val="2"/>
      </rPr>
      <t xml:space="preserve">지역문화축제 후원 및 기관 홍보</t>
    </r>
  </si>
  <si>
    <r>
      <rPr>
        <sz val="11"/>
        <color theme="1"/>
        <rFont val="맑은 고딕"/>
        <family val="2"/>
        <charset val="129"/>
      </rPr>
      <t xml:space="preserve">= 1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2"/>
        <charset val="129"/>
      </rPr>
      <t xml:space="preserve">×3,500</t>
    </r>
    <r>
      <rPr>
        <sz val="11"/>
        <color theme="1"/>
        <rFont val="WenQuanYi Zen Hei"/>
        <family val="2"/>
      </rPr>
      <t xml:space="preserve">천원</t>
    </r>
  </si>
  <si>
    <t xml:space="preserve">김장나눔</t>
  </si>
  <si>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WenQuanYi Zen Hei"/>
        <family val="2"/>
      </rPr>
      <t xml:space="preserve">맞춤형 나눔문화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WenQuanYi Zen Hei"/>
        <family val="2"/>
      </rPr>
      <t xml:space="preserve">지역사회 김장나눔행사 지원</t>
    </r>
  </si>
  <si>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WenQuanYi Zen Hei"/>
        <family val="2"/>
      </rPr>
      <t xml:space="preserve">예산 세목 수정</t>
    </r>
    <r>
      <rPr>
        <sz val="11"/>
        <color theme="1"/>
        <rFont val="맑은 고딕"/>
        <family val="2"/>
        <charset val="129"/>
      </rPr>
      <t xml:space="preserve">)</t>
    </r>
  </si>
  <si>
    <t xml:space="preserve">명함</t>
  </si>
  <si>
    <t xml:space="preserve">일반용역비</t>
  </si>
  <si>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WenQuanYi Zen Hei"/>
        <family val="2"/>
      </rPr>
      <t xml:space="preserve">인쇄매체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WenQuanYi Zen Hei"/>
        <family val="2"/>
      </rPr>
      <t xml:space="preserve">임직원 명함 및 뱃지 제작</t>
    </r>
  </si>
  <si>
    <r>
      <rPr>
        <sz val="11"/>
        <color theme="1"/>
        <rFont val="맑은 고딕"/>
        <family val="2"/>
        <charset val="129"/>
      </rPr>
      <t xml:space="preserve">= 1,800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2"/>
        <charset val="129"/>
      </rPr>
      <t xml:space="preserve">×1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2"/>
        <charset val="129"/>
      </rPr>
      <t xml:space="preserve">×14</t>
    </r>
    <r>
      <rPr>
        <sz val="11"/>
        <color theme="1"/>
        <rFont val="WenQuanYi Zen Hei"/>
        <family val="2"/>
      </rPr>
      <t xml:space="preserve">천원 </t>
    </r>
    <r>
      <rPr>
        <sz val="11"/>
        <color theme="1"/>
        <rFont val="맑은 고딕"/>
        <family val="2"/>
        <charset val="129"/>
      </rPr>
      <t xml:space="preserve">+ 1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2"/>
        <charset val="129"/>
      </rPr>
      <t xml:space="preserve">×1,000</t>
    </r>
    <r>
      <rPr>
        <sz val="11"/>
        <color theme="1"/>
        <rFont val="WenQuanYi Zen Hei"/>
        <family val="2"/>
      </rPr>
      <t xml:space="preserve">천원</t>
    </r>
  </si>
  <si>
    <r>
      <rPr>
        <sz val="11"/>
        <color theme="1"/>
        <rFont val="맑은 고딕"/>
        <family val="2"/>
        <charset val="129"/>
      </rPr>
      <t xml:space="preserve">= 1,800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2"/>
        <charset val="129"/>
      </rPr>
      <t xml:space="preserve">×1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2"/>
        <charset val="129"/>
      </rPr>
      <t xml:space="preserve">×14.5</t>
    </r>
    <r>
      <rPr>
        <sz val="11"/>
        <color theme="1"/>
        <rFont val="WenQuanYi Zen Hei"/>
        <family val="2"/>
      </rPr>
      <t xml:space="preserve">천원</t>
    </r>
  </si>
  <si>
    <t xml:space="preserve">임직원 명함 및 뱃지 제작 비용 축소</t>
  </si>
  <si>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WenQuanYi Zen Hei"/>
        <family val="2"/>
      </rPr>
      <t xml:space="preserve">홍보협의회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WenQuanYi Zen Hei"/>
        <family val="2"/>
      </rPr>
      <t xml:space="preserve">대국민 캠페인 홍보용품 제작</t>
    </r>
  </si>
  <si>
    <r>
      <rPr>
        <sz val="11"/>
        <color theme="1"/>
        <rFont val="맑은 고딕"/>
        <family val="2"/>
        <charset val="129"/>
      </rPr>
      <t xml:space="preserve">= 2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2"/>
        <charset val="129"/>
      </rPr>
      <t xml:space="preserve">×12,000</t>
    </r>
    <r>
      <rPr>
        <sz val="11"/>
        <color theme="1"/>
        <rFont val="WenQuanYi Zen Hei"/>
        <family val="2"/>
      </rPr>
      <t xml:space="preserve">천원</t>
    </r>
  </si>
  <si>
    <r>
      <rPr>
        <sz val="11"/>
        <color theme="1"/>
        <rFont val="맑은 고딕"/>
        <family val="2"/>
        <charset val="129"/>
      </rPr>
      <t xml:space="preserve">= 1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2"/>
        <charset val="129"/>
      </rPr>
      <t xml:space="preserve">×19,575</t>
    </r>
    <r>
      <rPr>
        <sz val="11"/>
        <color theme="1"/>
        <rFont val="WenQuanYi Zen Hei"/>
        <family val="2"/>
      </rPr>
      <t xml:space="preserve">천원</t>
    </r>
  </si>
  <si>
    <t xml:space="preserve">대국민 캠페인 홍보용품 제작 규모 축소</t>
  </si>
  <si>
    <t xml:space="preserve">라디오광고</t>
  </si>
  <si>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WenQuanYi Zen Hei"/>
        <family val="2"/>
      </rPr>
      <t xml:space="preserve">대중미디어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WenQuanYi Zen Hei"/>
        <family val="2"/>
      </rPr>
      <t xml:space="preserve">라디오 광고</t>
    </r>
  </si>
  <si>
    <r>
      <rPr>
        <sz val="11"/>
        <color theme="1"/>
        <rFont val="맑은 고딕"/>
        <family val="2"/>
        <charset val="129"/>
      </rPr>
      <t xml:space="preserve">= (SA</t>
    </r>
    <r>
      <rPr>
        <sz val="11"/>
        <color theme="1"/>
        <rFont val="WenQuanYi Zen Hei"/>
        <family val="2"/>
      </rPr>
      <t xml:space="preserve">급</t>
    </r>
    <r>
      <rPr>
        <sz val="11"/>
        <color theme="1"/>
        <rFont val="맑은 고딕"/>
        <family val="2"/>
        <charset val="129"/>
      </rPr>
      <t xml:space="preserve">) 146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2"/>
        <charset val="129"/>
      </rPr>
      <t xml:space="preserve">×220</t>
    </r>
    <r>
      <rPr>
        <sz val="11"/>
        <color theme="1"/>
        <rFont val="WenQuanYi Zen Hei"/>
        <family val="2"/>
      </rPr>
      <t xml:space="preserve">천원</t>
    </r>
  </si>
  <si>
    <r>
      <rPr>
        <sz val="11"/>
        <color theme="1"/>
        <rFont val="맑은 고딕"/>
        <family val="2"/>
        <charset val="129"/>
      </rPr>
      <t xml:space="preserve">= 1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2"/>
        <charset val="129"/>
      </rPr>
      <t xml:space="preserve">x19,690</t>
    </r>
    <r>
      <rPr>
        <sz val="11"/>
        <color theme="1"/>
        <rFont val="WenQuanYi Zen Hei"/>
        <family val="2"/>
      </rPr>
      <t xml:space="preserve">천원</t>
    </r>
  </si>
  <si>
    <t xml:space="preserve">라디오, 뉴미디어(유튜브) 광고 규모 축소</t>
  </si>
  <si>
    <r>
      <rPr>
        <sz val="11"/>
        <color theme="1"/>
        <rFont val="맑은 고딕"/>
        <family val="2"/>
        <charset val="129"/>
      </rPr>
      <t xml:space="preserve">TV</t>
    </r>
    <r>
      <rPr>
        <sz val="11"/>
        <color theme="1"/>
        <rFont val="WenQuanYi Zen Hei"/>
        <family val="2"/>
      </rPr>
      <t xml:space="preserve">광고</t>
    </r>
  </si>
  <si>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WenQuanYi Zen Hei"/>
        <family val="2"/>
      </rPr>
      <t xml:space="preserve">대중미디어</t>
    </r>
    <r>
      <rPr>
        <sz val="11"/>
        <color theme="1"/>
        <rFont val="맑은 고딕"/>
        <family val="2"/>
        <charset val="129"/>
      </rPr>
      <t xml:space="preserve">) TV </t>
    </r>
    <r>
      <rPr>
        <sz val="11"/>
        <color theme="1"/>
        <rFont val="WenQuanYi Zen Hei"/>
        <family val="2"/>
      </rPr>
      <t xml:space="preserve">광고 및 기획방송 제작 등</t>
    </r>
  </si>
  <si>
    <r>
      <rPr>
        <sz val="11"/>
        <color theme="1"/>
        <rFont val="맑은 고딕"/>
        <family val="2"/>
        <charset val="129"/>
      </rPr>
      <t xml:space="preserve">= (</t>
    </r>
    <r>
      <rPr>
        <sz val="11"/>
        <color theme="1"/>
        <rFont val="WenQuanYi Zen Hei"/>
        <family val="2"/>
      </rPr>
      <t xml:space="preserve">특</t>
    </r>
    <r>
      <rPr>
        <sz val="11"/>
        <color theme="1"/>
        <rFont val="맑은 고딕"/>
        <family val="2"/>
        <charset val="129"/>
      </rPr>
      <t xml:space="preserve">A</t>
    </r>
    <r>
      <rPr>
        <sz val="11"/>
        <color theme="1"/>
        <rFont val="WenQuanYi Zen Hei"/>
        <family val="2"/>
      </rPr>
      <t xml:space="preserve">급</t>
    </r>
    <r>
      <rPr>
        <sz val="11"/>
        <color theme="1"/>
        <rFont val="맑은 고딕"/>
        <family val="2"/>
        <charset val="129"/>
      </rPr>
      <t xml:space="preserve">) 6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2"/>
        <charset val="129"/>
      </rPr>
      <t xml:space="preserve">×13,200</t>
    </r>
    <r>
      <rPr>
        <sz val="11"/>
        <color theme="1"/>
        <rFont val="WenQuanYi Zen Hei"/>
        <family val="2"/>
      </rPr>
      <t xml:space="preserve">천원 </t>
    </r>
    <r>
      <rPr>
        <sz val="11"/>
        <color theme="1"/>
        <rFont val="맑은 고딕"/>
        <family val="2"/>
        <charset val="129"/>
      </rPr>
      <t xml:space="preserve">+ (</t>
    </r>
    <r>
      <rPr>
        <sz val="11"/>
        <color theme="1"/>
        <rFont val="WenQuanYi Zen Hei"/>
        <family val="2"/>
      </rPr>
      <t xml:space="preserve">일반</t>
    </r>
    <r>
      <rPr>
        <sz val="11"/>
        <color theme="1"/>
        <rFont val="맑은 고딕"/>
        <family val="2"/>
        <charset val="129"/>
      </rPr>
      <t xml:space="preserve">) 8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2"/>
        <charset val="129"/>
      </rPr>
      <t xml:space="preserve">×3,000</t>
    </r>
    <r>
      <rPr>
        <sz val="11"/>
        <color theme="1"/>
        <rFont val="WenQuanYi Zen Hei"/>
        <family val="2"/>
      </rPr>
      <t xml:space="preserve">천원 </t>
    </r>
    <r>
      <rPr>
        <sz val="11"/>
        <color theme="1"/>
        <rFont val="맑은 고딕"/>
        <family val="2"/>
        <charset val="129"/>
      </rPr>
      <t xml:space="preserve">+ (</t>
    </r>
    <r>
      <rPr>
        <sz val="11"/>
        <color theme="1"/>
        <rFont val="WenQuanYi Zen Hei"/>
        <family val="2"/>
      </rPr>
      <t xml:space="preserve">종편</t>
    </r>
    <r>
      <rPr>
        <sz val="11"/>
        <color theme="1"/>
        <rFont val="맑은 고딕"/>
        <family val="2"/>
        <charset val="129"/>
      </rPr>
      <t xml:space="preserve">·</t>
    </r>
    <r>
      <rPr>
        <sz val="11"/>
        <color theme="1"/>
        <rFont val="WenQuanYi Zen Hei"/>
        <family val="2"/>
      </rPr>
      <t xml:space="preserve">케이블</t>
    </r>
    <r>
      <rPr>
        <sz val="11"/>
        <color theme="1"/>
        <rFont val="맑은 고딕"/>
        <family val="2"/>
        <charset val="129"/>
      </rPr>
      <t xml:space="preserve">) 20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2"/>
        <charset val="129"/>
      </rPr>
      <t xml:space="preserve">×1,000</t>
    </r>
    <r>
      <rPr>
        <sz val="11"/>
        <color theme="1"/>
        <rFont val="WenQuanYi Zen Hei"/>
        <family val="2"/>
      </rPr>
      <t xml:space="preserve">천원 </t>
    </r>
    <r>
      <rPr>
        <sz val="11"/>
        <color theme="1"/>
        <rFont val="맑은 고딕"/>
        <family val="2"/>
        <charset val="129"/>
      </rPr>
      <t xml:space="preserve">+ (</t>
    </r>
    <r>
      <rPr>
        <sz val="11"/>
        <color theme="1"/>
        <rFont val="WenQuanYi Zen Hei"/>
        <family val="2"/>
      </rPr>
      <t xml:space="preserve">기획방송</t>
    </r>
    <r>
      <rPr>
        <sz val="11"/>
        <color theme="1"/>
        <rFont val="맑은 고딕"/>
        <family val="2"/>
        <charset val="129"/>
      </rPr>
      <t xml:space="preserve">) 1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2"/>
        <charset val="129"/>
      </rPr>
      <t xml:space="preserve">×40,000</t>
    </r>
    <r>
      <rPr>
        <sz val="11"/>
        <color theme="1"/>
        <rFont val="WenQuanYi Zen Hei"/>
        <family val="2"/>
      </rPr>
      <t xml:space="preserve">천원</t>
    </r>
  </si>
  <si>
    <r>
      <rPr>
        <sz val="11"/>
        <color theme="1"/>
        <rFont val="맑은 고딕"/>
        <family val="2"/>
        <charset val="129"/>
      </rPr>
      <t xml:space="preserve">= (</t>
    </r>
    <r>
      <rPr>
        <sz val="11"/>
        <color theme="1"/>
        <rFont val="WenQuanYi Zen Hei"/>
        <family val="2"/>
      </rPr>
      <t xml:space="preserve">금액변동</t>
    </r>
    <r>
      <rPr>
        <sz val="11"/>
        <color theme="1"/>
        <rFont val="맑은 고딕"/>
        <family val="2"/>
        <charset val="129"/>
      </rPr>
      <t xml:space="preserve">) (</t>
    </r>
    <r>
      <rPr>
        <sz val="11"/>
        <color theme="1"/>
        <rFont val="WenQuanYi Zen Hei"/>
        <family val="2"/>
      </rPr>
      <t xml:space="preserve">특</t>
    </r>
    <r>
      <rPr>
        <sz val="11"/>
        <color theme="1"/>
        <rFont val="맑은 고딕"/>
        <family val="2"/>
        <charset val="129"/>
      </rPr>
      <t xml:space="preserve">A</t>
    </r>
    <r>
      <rPr>
        <sz val="11"/>
        <color theme="1"/>
        <rFont val="WenQuanYi Zen Hei"/>
        <family val="2"/>
      </rPr>
      <t xml:space="preserve">급</t>
    </r>
    <r>
      <rPr>
        <sz val="11"/>
        <color theme="1"/>
        <rFont val="맑은 고딕"/>
        <family val="2"/>
        <charset val="129"/>
      </rPr>
      <t xml:space="preserve">) 6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2"/>
        <charset val="129"/>
      </rPr>
      <t xml:space="preserve">×4,200</t>
    </r>
    <r>
      <rPr>
        <sz val="11"/>
        <color theme="1"/>
        <rFont val="WenQuanYi Zen Hei"/>
        <family val="2"/>
      </rPr>
      <t xml:space="preserve">천원 </t>
    </r>
    <r>
      <rPr>
        <sz val="11"/>
        <color theme="1"/>
        <rFont val="맑은 고딕"/>
        <family val="2"/>
        <charset val="129"/>
      </rPr>
      <t xml:space="preserve">+ (</t>
    </r>
    <r>
      <rPr>
        <sz val="11"/>
        <color theme="1"/>
        <rFont val="WenQuanYi Zen Hei"/>
        <family val="2"/>
      </rPr>
      <t xml:space="preserve">일반</t>
    </r>
    <r>
      <rPr>
        <sz val="11"/>
        <color theme="1"/>
        <rFont val="맑은 고딕"/>
        <family val="2"/>
        <charset val="129"/>
      </rPr>
      <t xml:space="preserve">) 8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2"/>
        <charset val="129"/>
      </rPr>
      <t xml:space="preserve">×1,500</t>
    </r>
    <r>
      <rPr>
        <sz val="11"/>
        <color theme="1"/>
        <rFont val="WenQuanYi Zen Hei"/>
        <family val="2"/>
      </rPr>
      <t xml:space="preserve">천원 </t>
    </r>
    <r>
      <rPr>
        <sz val="11"/>
        <color theme="1"/>
        <rFont val="맑은 고딕"/>
        <family val="2"/>
        <charset val="129"/>
      </rPr>
      <t xml:space="preserve">+ (</t>
    </r>
    <r>
      <rPr>
        <sz val="11"/>
        <color theme="1"/>
        <rFont val="WenQuanYi Zen Hei"/>
        <family val="2"/>
      </rPr>
      <t xml:space="preserve">종편</t>
    </r>
    <r>
      <rPr>
        <sz val="11"/>
        <color theme="1"/>
        <rFont val="맑은 고딕"/>
        <family val="2"/>
        <charset val="129"/>
      </rPr>
      <t xml:space="preserve">·</t>
    </r>
    <r>
      <rPr>
        <sz val="11"/>
        <color theme="1"/>
        <rFont val="WenQuanYi Zen Hei"/>
        <family val="2"/>
      </rPr>
      <t xml:space="preserve">케이블</t>
    </r>
    <r>
      <rPr>
        <sz val="11"/>
        <color theme="1"/>
        <rFont val="맑은 고딕"/>
        <family val="2"/>
        <charset val="129"/>
      </rPr>
      <t xml:space="preserve">) 20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2"/>
        <charset val="129"/>
      </rPr>
      <t xml:space="preserve">×500</t>
    </r>
    <r>
      <rPr>
        <sz val="11"/>
        <color theme="1"/>
        <rFont val="WenQuanYi Zen Hei"/>
        <family val="2"/>
      </rPr>
      <t xml:space="preserve">천원 </t>
    </r>
    <r>
      <rPr>
        <sz val="11"/>
        <color theme="1"/>
        <rFont val="맑은 고딕"/>
        <family val="2"/>
        <charset val="129"/>
      </rPr>
      <t xml:space="preserve">+ (</t>
    </r>
    <r>
      <rPr>
        <sz val="11"/>
        <color theme="1"/>
        <rFont val="WenQuanYi Zen Hei"/>
        <family val="2"/>
      </rPr>
      <t xml:space="preserve">기획방송</t>
    </r>
    <r>
      <rPr>
        <sz val="11"/>
        <color theme="1"/>
        <rFont val="맑은 고딕"/>
        <family val="2"/>
        <charset val="129"/>
      </rPr>
      <t xml:space="preserve">) 1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2"/>
        <charset val="129"/>
      </rPr>
      <t xml:space="preserve">×24,000</t>
    </r>
    <r>
      <rPr>
        <sz val="11"/>
        <color theme="1"/>
        <rFont val="WenQuanYi Zen Hei"/>
        <family val="2"/>
      </rPr>
      <t xml:space="preserve">천원</t>
    </r>
  </si>
  <si>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WenQuanYi Zen Hei"/>
        <family val="2"/>
      </rPr>
      <t xml:space="preserve">금액변동</t>
    </r>
    <r>
      <rPr>
        <sz val="11"/>
        <color theme="1"/>
        <rFont val="맑은 고딕"/>
        <family val="2"/>
        <charset val="129"/>
      </rPr>
      <t xml:space="preserve">) TV </t>
    </r>
    <r>
      <rPr>
        <sz val="11"/>
        <color theme="1"/>
        <rFont val="WenQuanYi Zen Hei"/>
        <family val="2"/>
      </rPr>
      <t xml:space="preserve">광고 및 기획방송 제작 규모 축소</t>
    </r>
  </si>
  <si>
    <r>
      <rPr>
        <sz val="11"/>
        <color theme="1"/>
        <rFont val="맑은 고딕"/>
        <family val="2"/>
        <charset val="129"/>
      </rPr>
      <t xml:space="preserve">1-1-1. </t>
    </r>
    <r>
      <rPr>
        <sz val="11"/>
        <color theme="1"/>
        <rFont val="WenQuanYi Zen Hei"/>
        <family val="2"/>
      </rPr>
      <t xml:space="preserve">사고조사실</t>
    </r>
  </si>
  <si>
    <t xml:space="preserve">국제교류</t>
  </si>
  <si>
    <r>
      <rPr>
        <sz val="11"/>
        <color theme="1"/>
        <rFont val="맑은 고딕"/>
        <family val="2"/>
        <charset val="129"/>
      </rPr>
      <t xml:space="preserve">5-2-1. </t>
    </r>
    <r>
      <rPr>
        <sz val="11"/>
        <color theme="1"/>
        <rFont val="WenQuanYi Zen Hei"/>
        <family val="2"/>
      </rPr>
      <t xml:space="preserve">산업지원실</t>
    </r>
  </si>
  <si>
    <r>
      <rPr>
        <sz val="11"/>
        <color theme="1"/>
        <rFont val="맑은 고딕"/>
        <family val="2"/>
        <charset val="129"/>
      </rPr>
      <t xml:space="preserve">5-1-1. </t>
    </r>
    <r>
      <rPr>
        <sz val="11"/>
        <color theme="1"/>
        <rFont val="WenQuanYi Zen Hei"/>
        <family val="2"/>
      </rPr>
      <t xml:space="preserve">국내 승강기 산업의 해외진출 지원</t>
    </r>
  </si>
  <si>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WenQuanYi Zen Hei"/>
        <family val="2"/>
      </rPr>
      <t xml:space="preserve">해외 엑스포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WenQuanYi Zen Hei"/>
        <family val="2"/>
      </rPr>
      <t xml:space="preserve">국제교류 기념품 및 한국관 홍보물 구입</t>
    </r>
  </si>
  <si>
    <r>
      <rPr>
        <sz val="11"/>
        <color theme="1"/>
        <rFont val="맑은 고딕"/>
        <family val="2"/>
        <charset val="129"/>
      </rPr>
      <t xml:space="preserve">= 1</t>
    </r>
    <r>
      <rPr>
        <sz val="11"/>
        <color theme="1"/>
        <rFont val="WenQuanYi Zen Hei"/>
        <family val="2"/>
      </rPr>
      <t xml:space="preserve">식 </t>
    </r>
    <r>
      <rPr>
        <sz val="11"/>
        <color theme="1"/>
        <rFont val="맑은 고딕"/>
        <family val="2"/>
        <charset val="129"/>
      </rPr>
      <t xml:space="preserve">x 2</t>
    </r>
    <r>
      <rPr>
        <sz val="11"/>
        <color theme="1"/>
        <rFont val="WenQuanYi Zen Hei"/>
        <family val="2"/>
      </rPr>
      <t xml:space="preserve">회 </t>
    </r>
    <r>
      <rPr>
        <sz val="11"/>
        <color theme="1"/>
        <rFont val="맑은 고딕"/>
        <family val="2"/>
        <charset val="129"/>
      </rPr>
      <t xml:space="preserve">x 1,500</t>
    </r>
    <r>
      <rPr>
        <sz val="11"/>
        <color theme="1"/>
        <rFont val="WenQuanYi Zen Hei"/>
        <family val="2"/>
      </rPr>
      <t xml:space="preserve">천원</t>
    </r>
  </si>
  <si>
    <t xml:space="preserve">국제교류 및 한국관 홍보물 구입비용 증가</t>
  </si>
  <si>
    <t xml:space="preserve">제안포상</t>
  </si>
  <si>
    <r>
      <rPr>
        <sz val="11"/>
        <color theme="1"/>
        <rFont val="맑은 고딕"/>
        <family val="2"/>
        <charset val="129"/>
      </rPr>
      <t xml:space="preserve">2-1-3. </t>
    </r>
    <r>
      <rPr>
        <sz val="11"/>
        <color theme="1"/>
        <rFont val="WenQuanYi Zen Hei"/>
        <family val="2"/>
      </rPr>
      <t xml:space="preserve">성과경영실</t>
    </r>
  </si>
  <si>
    <r>
      <rPr>
        <sz val="11"/>
        <color theme="1"/>
        <rFont val="맑은 고딕"/>
        <family val="2"/>
        <charset val="129"/>
      </rPr>
      <t xml:space="preserve">10-1-3. KoELSA </t>
    </r>
    <r>
      <rPr>
        <sz val="11"/>
        <color theme="1"/>
        <rFont val="WenQuanYi Zen Hei"/>
        <family val="2"/>
      </rPr>
      <t xml:space="preserve">경영혁신</t>
    </r>
    <r>
      <rPr>
        <sz val="11"/>
        <color theme="1"/>
        <rFont val="맑은 고딕"/>
        <family val="2"/>
        <charset val="129"/>
      </rPr>
      <t xml:space="preserve">·</t>
    </r>
    <r>
      <rPr>
        <sz val="11"/>
        <color theme="1"/>
        <rFont val="WenQuanYi Zen Hei"/>
        <family val="2"/>
      </rPr>
      <t xml:space="preserve">개선 계획 수립</t>
    </r>
  </si>
  <si>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WenQuanYi Zen Hei"/>
        <family val="2"/>
      </rPr>
      <t xml:space="preserve">제안제도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WenQuanYi Zen Hei"/>
        <family val="2"/>
      </rPr>
      <t xml:space="preserve">우수제안ᆞ우수실행ᆞ우수활동 포상</t>
    </r>
  </si>
  <si>
    <r>
      <rPr>
        <sz val="11"/>
        <color theme="1"/>
        <rFont val="맑은 고딕"/>
        <family val="2"/>
        <charset val="129"/>
      </rPr>
      <t xml:space="preserve">= (</t>
    </r>
    <r>
      <rPr>
        <sz val="11"/>
        <color theme="1"/>
        <rFont val="WenQuanYi Zen Hei"/>
        <family val="2"/>
      </rPr>
      <t xml:space="preserve">우수제안</t>
    </r>
    <r>
      <rPr>
        <sz val="11"/>
        <color theme="1"/>
        <rFont val="맑은 고딕"/>
        <family val="2"/>
        <charset val="129"/>
      </rPr>
      <t xml:space="preserve">) (</t>
    </r>
    <r>
      <rPr>
        <sz val="11"/>
        <color theme="1"/>
        <rFont val="WenQuanYi Zen Hei"/>
        <family val="2"/>
      </rPr>
      <t xml:space="preserve">최우수</t>
    </r>
    <r>
      <rPr>
        <sz val="11"/>
        <color theme="1"/>
        <rFont val="맑은 고딕"/>
        <family val="2"/>
        <charset val="129"/>
      </rPr>
      <t xml:space="preserve">) 1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2"/>
        <charset val="129"/>
      </rPr>
      <t xml:space="preserve">×1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2"/>
        <charset val="129"/>
      </rPr>
      <t xml:space="preserve">×150</t>
    </r>
    <r>
      <rPr>
        <sz val="11"/>
        <color theme="1"/>
        <rFont val="WenQuanYi Zen Hei"/>
        <family val="2"/>
      </rPr>
      <t xml:space="preserve">천원 </t>
    </r>
    <r>
      <rPr>
        <sz val="11"/>
        <color theme="1"/>
        <rFont val="맑은 고딕"/>
        <family val="2"/>
        <charset val="129"/>
      </rPr>
      <t xml:space="preserve">+ (</t>
    </r>
    <r>
      <rPr>
        <sz val="11"/>
        <color theme="1"/>
        <rFont val="WenQuanYi Zen Hei"/>
        <family val="2"/>
      </rPr>
      <t xml:space="preserve">우수</t>
    </r>
    <r>
      <rPr>
        <sz val="11"/>
        <color theme="1"/>
        <rFont val="맑은 고딕"/>
        <family val="2"/>
        <charset val="129"/>
      </rPr>
      <t xml:space="preserve">) 2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2"/>
        <charset val="129"/>
      </rPr>
      <t xml:space="preserve">×1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2"/>
        <charset val="129"/>
      </rPr>
      <t xml:space="preserve">×100</t>
    </r>
    <r>
      <rPr>
        <sz val="11"/>
        <color theme="1"/>
        <rFont val="WenQuanYi Zen Hei"/>
        <family val="2"/>
      </rPr>
      <t xml:space="preserve">천원 </t>
    </r>
    <r>
      <rPr>
        <sz val="11"/>
        <color theme="1"/>
        <rFont val="맑은 고딕"/>
        <family val="2"/>
        <charset val="129"/>
      </rPr>
      <t xml:space="preserve">+ (</t>
    </r>
    <r>
      <rPr>
        <sz val="11"/>
        <color theme="1"/>
        <rFont val="WenQuanYi Zen Hei"/>
        <family val="2"/>
      </rPr>
      <t xml:space="preserve">장려</t>
    </r>
    <r>
      <rPr>
        <sz val="11"/>
        <color theme="1"/>
        <rFont val="맑은 고딕"/>
        <family val="2"/>
        <charset val="129"/>
      </rPr>
      <t xml:space="preserve">) 3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2"/>
        <charset val="129"/>
      </rPr>
      <t xml:space="preserve">×1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2"/>
        <charset val="129"/>
      </rPr>
      <t xml:space="preserve">×50</t>
    </r>
    <r>
      <rPr>
        <sz val="11"/>
        <color theme="1"/>
        <rFont val="WenQuanYi Zen Hei"/>
        <family val="2"/>
      </rPr>
      <t xml:space="preserve">천원
</t>
    </r>
    <r>
      <rPr>
        <sz val="11"/>
        <color theme="1"/>
        <rFont val="맑은 고딕"/>
        <family val="2"/>
        <charset val="129"/>
      </rPr>
      <t xml:space="preserve">= (</t>
    </r>
    <r>
      <rPr>
        <sz val="11"/>
        <color theme="1"/>
        <rFont val="WenQuanYi Zen Hei"/>
        <family val="2"/>
      </rPr>
      <t xml:space="preserve">우수실행</t>
    </r>
    <r>
      <rPr>
        <sz val="11"/>
        <color theme="1"/>
        <rFont val="맑은 고딕"/>
        <family val="2"/>
        <charset val="129"/>
      </rPr>
      <t xml:space="preserve">) (</t>
    </r>
    <r>
      <rPr>
        <sz val="11"/>
        <color theme="1"/>
        <rFont val="WenQuanYi Zen Hei"/>
        <family val="2"/>
      </rPr>
      <t xml:space="preserve">부서</t>
    </r>
    <r>
      <rPr>
        <sz val="11"/>
        <color theme="1"/>
        <rFont val="맑은 고딕"/>
        <family val="2"/>
        <charset val="129"/>
      </rPr>
      <t xml:space="preserve">) 3</t>
    </r>
    <r>
      <rPr>
        <sz val="11"/>
        <color theme="1"/>
        <rFont val="WenQuanYi Zen Hei"/>
        <family val="2"/>
      </rPr>
      <t xml:space="preserve">개</t>
    </r>
    <r>
      <rPr>
        <sz val="11"/>
        <color theme="1"/>
        <rFont val="맑은 고딕"/>
        <family val="2"/>
        <charset val="129"/>
      </rPr>
      <t xml:space="preserve">×1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2"/>
        <charset val="129"/>
      </rPr>
      <t xml:space="preserve">×100</t>
    </r>
    <r>
      <rPr>
        <sz val="11"/>
        <color theme="1"/>
        <rFont val="WenQuanYi Zen Hei"/>
        <family val="2"/>
      </rPr>
      <t xml:space="preserve">천원 </t>
    </r>
    <r>
      <rPr>
        <sz val="11"/>
        <color theme="1"/>
        <rFont val="맑은 고딕"/>
        <family val="2"/>
        <charset val="129"/>
      </rPr>
      <t xml:space="preserve">+ (</t>
    </r>
    <r>
      <rPr>
        <sz val="11"/>
        <color theme="1"/>
        <rFont val="WenQuanYi Zen Hei"/>
        <family val="2"/>
      </rPr>
      <t xml:space="preserve">개인</t>
    </r>
    <r>
      <rPr>
        <sz val="11"/>
        <color theme="1"/>
        <rFont val="맑은 고딕"/>
        <family val="2"/>
        <charset val="129"/>
      </rPr>
      <t xml:space="preserve">) 3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2"/>
        <charset val="129"/>
      </rPr>
      <t xml:space="preserve">×1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2"/>
        <charset val="129"/>
      </rPr>
      <t xml:space="preserve">×100</t>
    </r>
    <r>
      <rPr>
        <sz val="11"/>
        <color theme="1"/>
        <rFont val="WenQuanYi Zen Hei"/>
        <family val="2"/>
      </rPr>
      <t xml:space="preserve">천원
</t>
    </r>
    <r>
      <rPr>
        <sz val="11"/>
        <color theme="1"/>
        <rFont val="맑은 고딕"/>
        <family val="2"/>
        <charset val="129"/>
      </rPr>
      <t xml:space="preserve">= (</t>
    </r>
    <r>
      <rPr>
        <sz val="11"/>
        <color theme="1"/>
        <rFont val="WenQuanYi Zen Hei"/>
        <family val="2"/>
      </rPr>
      <t xml:space="preserve">우수활동</t>
    </r>
    <r>
      <rPr>
        <sz val="11"/>
        <color theme="1"/>
        <rFont val="맑은 고딕"/>
        <family val="2"/>
        <charset val="129"/>
      </rPr>
      <t xml:space="preserve">) (</t>
    </r>
    <r>
      <rPr>
        <sz val="11"/>
        <color theme="1"/>
        <rFont val="WenQuanYi Zen Hei"/>
        <family val="2"/>
      </rPr>
      <t xml:space="preserve">최우수</t>
    </r>
    <r>
      <rPr>
        <sz val="11"/>
        <color theme="1"/>
        <rFont val="맑은 고딕"/>
        <family val="2"/>
        <charset val="129"/>
      </rPr>
      <t xml:space="preserve">) 1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2"/>
        <charset val="129"/>
      </rPr>
      <t xml:space="preserve">×1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2"/>
        <charset val="129"/>
      </rPr>
      <t xml:space="preserve">×150</t>
    </r>
    <r>
      <rPr>
        <sz val="11"/>
        <color theme="1"/>
        <rFont val="WenQuanYi Zen Hei"/>
        <family val="2"/>
      </rPr>
      <t xml:space="preserve">천원 </t>
    </r>
    <r>
      <rPr>
        <sz val="11"/>
        <color theme="1"/>
        <rFont val="맑은 고딕"/>
        <family val="2"/>
        <charset val="129"/>
      </rPr>
      <t xml:space="preserve">+ (</t>
    </r>
    <r>
      <rPr>
        <sz val="11"/>
        <color theme="1"/>
        <rFont val="WenQuanYi Zen Hei"/>
        <family val="2"/>
      </rPr>
      <t xml:space="preserve">우수</t>
    </r>
    <r>
      <rPr>
        <sz val="11"/>
        <color theme="1"/>
        <rFont val="맑은 고딕"/>
        <family val="2"/>
        <charset val="129"/>
      </rPr>
      <t xml:space="preserve">) 2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2"/>
        <charset val="129"/>
      </rPr>
      <t xml:space="preserve">×1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2"/>
        <charset val="129"/>
      </rPr>
      <t xml:space="preserve">×100</t>
    </r>
    <r>
      <rPr>
        <sz val="11"/>
        <color theme="1"/>
        <rFont val="WenQuanYi Zen Hei"/>
        <family val="2"/>
      </rPr>
      <t xml:space="preserve">천원 </t>
    </r>
    <r>
      <rPr>
        <sz val="11"/>
        <color theme="1"/>
        <rFont val="맑은 고딕"/>
        <family val="2"/>
        <charset val="129"/>
      </rPr>
      <t xml:space="preserve">+ (</t>
    </r>
    <r>
      <rPr>
        <sz val="11"/>
        <color theme="1"/>
        <rFont val="WenQuanYi Zen Hei"/>
        <family val="2"/>
      </rPr>
      <t xml:space="preserve">장려</t>
    </r>
    <r>
      <rPr>
        <sz val="11"/>
        <color theme="1"/>
        <rFont val="맑은 고딕"/>
        <family val="2"/>
        <charset val="129"/>
      </rPr>
      <t xml:space="preserve">) 3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2"/>
        <charset val="129"/>
      </rPr>
      <t xml:space="preserve">×1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2"/>
        <charset val="129"/>
      </rPr>
      <t xml:space="preserve">×50</t>
    </r>
    <r>
      <rPr>
        <sz val="11"/>
        <color theme="1"/>
        <rFont val="WenQuanYi Zen Hei"/>
        <family val="2"/>
      </rPr>
      <t xml:space="preserve">천원</t>
    </r>
  </si>
  <si>
    <r>
      <rPr>
        <sz val="11"/>
        <color theme="1"/>
        <rFont val="맑은 고딕"/>
        <family val="2"/>
        <charset val="129"/>
      </rPr>
      <t xml:space="preserve">=7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2"/>
        <charset val="129"/>
      </rPr>
      <t xml:space="preserve">×1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2"/>
        <charset val="129"/>
      </rPr>
      <t xml:space="preserve">×800</t>
    </r>
    <r>
      <rPr>
        <sz val="11"/>
        <color theme="1"/>
        <rFont val="WenQuanYi Zen Hei"/>
        <family val="2"/>
      </rPr>
      <t xml:space="preserve">천원</t>
    </r>
  </si>
  <si>
    <t xml:space="preserve">제안제도 운영규정에 따른 포상금액 적용</t>
  </si>
  <si>
    <t xml:space="preserve">혁신경진대회</t>
  </si>
  <si>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WenQuanYi Zen Hei"/>
        <family val="2"/>
      </rPr>
      <t xml:space="preserve">경영혁신ᆞ개선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WenQuanYi Zen Hei"/>
        <family val="2"/>
      </rPr>
      <t xml:space="preserve">혁신경진대회 우수자 포상</t>
    </r>
  </si>
  <si>
    <r>
      <rPr>
        <sz val="11"/>
        <color theme="1"/>
        <rFont val="맑은 고딕"/>
        <family val="2"/>
        <charset val="129"/>
      </rPr>
      <t xml:space="preserve">= (</t>
    </r>
    <r>
      <rPr>
        <sz val="11"/>
        <color theme="1"/>
        <rFont val="WenQuanYi Zen Hei"/>
        <family val="2"/>
      </rPr>
      <t xml:space="preserve">대상</t>
    </r>
    <r>
      <rPr>
        <sz val="11"/>
        <color theme="1"/>
        <rFont val="맑은 고딕"/>
        <family val="2"/>
        <charset val="129"/>
      </rPr>
      <t xml:space="preserve">) 1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2"/>
        <charset val="129"/>
      </rPr>
      <t xml:space="preserve">×1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2"/>
        <charset val="129"/>
      </rPr>
      <t xml:space="preserve">×300</t>
    </r>
    <r>
      <rPr>
        <sz val="11"/>
        <color theme="1"/>
        <rFont val="WenQuanYi Zen Hei"/>
        <family val="2"/>
      </rPr>
      <t xml:space="preserve">천원 </t>
    </r>
    <r>
      <rPr>
        <sz val="11"/>
        <color theme="1"/>
        <rFont val="맑은 고딕"/>
        <family val="2"/>
        <charset val="129"/>
      </rPr>
      <t xml:space="preserve">+ (</t>
    </r>
    <r>
      <rPr>
        <sz val="11"/>
        <color theme="1"/>
        <rFont val="WenQuanYi Zen Hei"/>
        <family val="2"/>
      </rPr>
      <t xml:space="preserve">최우수상</t>
    </r>
    <r>
      <rPr>
        <sz val="11"/>
        <color theme="1"/>
        <rFont val="맑은 고딕"/>
        <family val="2"/>
        <charset val="129"/>
      </rPr>
      <t xml:space="preserve">) 1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2"/>
        <charset val="129"/>
      </rPr>
      <t xml:space="preserve">×1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2"/>
        <charset val="129"/>
      </rPr>
      <t xml:space="preserve">×150</t>
    </r>
    <r>
      <rPr>
        <sz val="11"/>
        <color theme="1"/>
        <rFont val="WenQuanYi Zen Hei"/>
        <family val="2"/>
      </rPr>
      <t xml:space="preserve">천원 </t>
    </r>
    <r>
      <rPr>
        <sz val="11"/>
        <color theme="1"/>
        <rFont val="맑은 고딕"/>
        <family val="2"/>
        <charset val="129"/>
      </rPr>
      <t xml:space="preserve">+ (</t>
    </r>
    <r>
      <rPr>
        <sz val="11"/>
        <color theme="1"/>
        <rFont val="WenQuanYi Zen Hei"/>
        <family val="2"/>
      </rPr>
      <t xml:space="preserve">우수상</t>
    </r>
    <r>
      <rPr>
        <sz val="11"/>
        <color theme="1"/>
        <rFont val="맑은 고딕"/>
        <family val="2"/>
        <charset val="129"/>
      </rPr>
      <t xml:space="preserve">) 2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2"/>
        <charset val="129"/>
      </rPr>
      <t xml:space="preserve">×1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2"/>
        <charset val="129"/>
      </rPr>
      <t xml:space="preserve">×100</t>
    </r>
    <r>
      <rPr>
        <sz val="11"/>
        <color theme="1"/>
        <rFont val="WenQuanYi Zen Hei"/>
        <family val="2"/>
      </rPr>
      <t xml:space="preserve">천원 </t>
    </r>
    <r>
      <rPr>
        <sz val="11"/>
        <color theme="1"/>
        <rFont val="맑은 고딕"/>
        <family val="2"/>
        <charset val="129"/>
      </rPr>
      <t xml:space="preserve">+ (</t>
    </r>
    <r>
      <rPr>
        <sz val="11"/>
        <color theme="1"/>
        <rFont val="WenQuanYi Zen Hei"/>
        <family val="2"/>
      </rPr>
      <t xml:space="preserve">장려상</t>
    </r>
    <r>
      <rPr>
        <sz val="11"/>
        <color theme="1"/>
        <rFont val="맑은 고딕"/>
        <family val="2"/>
        <charset val="129"/>
      </rPr>
      <t xml:space="preserve">) 3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2"/>
        <charset val="129"/>
      </rPr>
      <t xml:space="preserve">×1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2"/>
        <charset val="129"/>
      </rPr>
      <t xml:space="preserve">×50</t>
    </r>
    <r>
      <rPr>
        <sz val="11"/>
        <color theme="1"/>
        <rFont val="WenQuanYi Zen Hei"/>
        <family val="2"/>
      </rPr>
      <t xml:space="preserve">천원</t>
    </r>
  </si>
  <si>
    <r>
      <rPr>
        <sz val="11"/>
        <color theme="1"/>
        <rFont val="맑은 고딕"/>
        <family val="2"/>
        <charset val="129"/>
      </rPr>
      <t xml:space="preserve">=7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2"/>
        <charset val="129"/>
      </rPr>
      <t xml:space="preserve">×1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2"/>
        <charset val="129"/>
      </rPr>
      <t xml:space="preserve">×115</t>
    </r>
    <r>
      <rPr>
        <sz val="11"/>
        <color theme="1"/>
        <rFont val="WenQuanYi Zen Hei"/>
        <family val="2"/>
      </rPr>
      <t xml:space="preserve">천원</t>
    </r>
  </si>
  <si>
    <t xml:space="preserve">적극행정</t>
  </si>
  <si>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WenQuanYi Zen Hei"/>
        <family val="2"/>
      </rPr>
      <t xml:space="preserve">적극행정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WenQuanYi Zen Hei"/>
        <family val="2"/>
      </rPr>
      <t xml:space="preserve">적극행정경진대회 우수자 포상</t>
    </r>
  </si>
  <si>
    <r>
      <rPr>
        <sz val="11"/>
        <color theme="1"/>
        <rFont val="맑은 고딕"/>
        <family val="2"/>
        <charset val="129"/>
      </rPr>
      <t xml:space="preserve">=8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2"/>
        <charset val="129"/>
      </rPr>
      <t xml:space="preserve">×1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2"/>
        <charset val="129"/>
      </rPr>
      <t xml:space="preserve">×100</t>
    </r>
    <r>
      <rPr>
        <sz val="11"/>
        <color theme="1"/>
        <rFont val="WenQuanYi Zen Hei"/>
        <family val="2"/>
      </rPr>
      <t xml:space="preserve">천원</t>
    </r>
  </si>
  <si>
    <t xml:space="preserve">경영평가</t>
  </si>
  <si>
    <t xml:space="preserve">경영평가 위원 홍보물품 관련 예산</t>
  </si>
  <si>
    <t xml:space="preserve">건강증진</t>
  </si>
  <si>
    <r>
      <rPr>
        <sz val="11"/>
        <color theme="1"/>
        <rFont val="맑은 고딕"/>
        <family val="2"/>
        <charset val="129"/>
      </rPr>
      <t xml:space="preserve">1-2-1. </t>
    </r>
    <r>
      <rPr>
        <sz val="11"/>
        <color theme="1"/>
        <rFont val="WenQuanYi Zen Hei"/>
        <family val="2"/>
      </rPr>
      <t xml:space="preserve">안전관리실</t>
    </r>
  </si>
  <si>
    <r>
      <rPr>
        <sz val="11"/>
        <color theme="1"/>
        <rFont val="맑은 고딕"/>
        <family val="2"/>
        <charset val="129"/>
      </rPr>
      <t xml:space="preserve">11-3-3. </t>
    </r>
    <r>
      <rPr>
        <sz val="11"/>
        <color theme="1"/>
        <rFont val="WenQuanYi Zen Hei"/>
        <family val="2"/>
      </rPr>
      <t xml:space="preserve">직원 참여형 안전보건 위험요소 발굴 및 제거</t>
    </r>
  </si>
  <si>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WenQuanYi Zen Hei"/>
        <family val="2"/>
      </rPr>
      <t xml:space="preserve">안전활동 운영 및 관리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WenQuanYi Zen Hei"/>
        <family val="2"/>
      </rPr>
      <t xml:space="preserve">근로자 건강증진 활동 용역비</t>
    </r>
  </si>
  <si>
    <r>
      <rPr>
        <sz val="11"/>
        <color theme="1"/>
        <rFont val="맑은 고딕"/>
        <family val="2"/>
        <charset val="129"/>
      </rPr>
      <t xml:space="preserve">= 1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2"/>
        <charset val="129"/>
      </rPr>
      <t xml:space="preserve">×12,000</t>
    </r>
    <r>
      <rPr>
        <sz val="11"/>
        <color theme="1"/>
        <rFont val="WenQuanYi Zen Hei"/>
        <family val="2"/>
      </rPr>
      <t xml:space="preserve">천원</t>
    </r>
  </si>
  <si>
    <r>
      <rPr>
        <sz val="11"/>
        <color theme="1"/>
        <rFont val="맑은 고딕"/>
        <family val="2"/>
        <charset val="129"/>
      </rPr>
      <t xml:space="preserve">= 1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2"/>
        <charset val="129"/>
      </rPr>
      <t xml:space="preserve">×16,000</t>
    </r>
    <r>
      <rPr>
        <sz val="11"/>
        <color theme="1"/>
        <rFont val="WenQuanYi Zen Hei"/>
        <family val="2"/>
      </rPr>
      <t xml:space="preserve">천원</t>
    </r>
  </si>
  <si>
    <t xml:space="preserve">건강검진 결과 수집 용역 비용 증가</t>
  </si>
  <si>
    <r>
      <rPr>
        <sz val="11"/>
        <color theme="1"/>
        <rFont val="맑은 고딕"/>
        <family val="2"/>
        <charset val="129"/>
      </rPr>
      <t xml:space="preserve">3</t>
    </r>
    <r>
      <rPr>
        <sz val="11"/>
        <color theme="1"/>
        <rFont val="WenQuanYi Zen Hei"/>
        <family val="2"/>
      </rPr>
      <t xml:space="preserve">분기</t>
    </r>
  </si>
  <si>
    <t xml:space="preserve">산업안전보건위원회</t>
  </si>
  <si>
    <r>
      <rPr>
        <sz val="11"/>
        <color theme="1"/>
        <rFont val="맑은 고딕"/>
        <family val="2"/>
        <charset val="129"/>
      </rPr>
      <t xml:space="preserve">11-3-2. </t>
    </r>
    <r>
      <rPr>
        <sz val="11"/>
        <color theme="1"/>
        <rFont val="WenQuanYi Zen Hei"/>
        <family val="2"/>
      </rPr>
      <t xml:space="preserve">기관 맞춤형 자율 안전보건관리 체계 및 중소기업 구축 지원</t>
    </r>
  </si>
  <si>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WenQuanYi Zen Hei"/>
        <family val="2"/>
      </rPr>
      <t xml:space="preserve">내외부 소통채널 운영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WenQuanYi Zen Hei"/>
        <family val="2"/>
      </rPr>
      <t xml:space="preserve">중앙 산업안전보건위원회 회의 </t>
    </r>
  </si>
  <si>
    <r>
      <rPr>
        <sz val="11"/>
        <color theme="1"/>
        <rFont val="맑은 고딕"/>
        <family val="2"/>
        <charset val="129"/>
      </rPr>
      <t xml:space="preserve">= (</t>
    </r>
    <r>
      <rPr>
        <sz val="11"/>
        <color theme="1"/>
        <rFont val="WenQuanYi Zen Hei"/>
        <family val="2"/>
      </rPr>
      <t xml:space="preserve">내부</t>
    </r>
    <r>
      <rPr>
        <sz val="11"/>
        <color theme="1"/>
        <rFont val="맑은 고딕"/>
        <family val="2"/>
        <charset val="129"/>
      </rPr>
      <t xml:space="preserve">) 30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2"/>
        <charset val="129"/>
      </rPr>
      <t xml:space="preserve">×4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2"/>
        <charset val="129"/>
      </rPr>
      <t xml:space="preserve">×5</t>
    </r>
    <r>
      <rPr>
        <sz val="11"/>
        <color theme="1"/>
        <rFont val="WenQuanYi Zen Hei"/>
        <family val="2"/>
      </rPr>
      <t xml:space="preserve">천원</t>
    </r>
  </si>
  <si>
    <r>
      <rPr>
        <sz val="11"/>
        <color theme="1"/>
        <rFont val="맑은 고딕"/>
        <family val="2"/>
        <charset val="129"/>
      </rPr>
      <t xml:space="preserve">= (</t>
    </r>
    <r>
      <rPr>
        <sz val="11"/>
        <color theme="1"/>
        <rFont val="WenQuanYi Zen Hei"/>
        <family val="2"/>
      </rPr>
      <t xml:space="preserve">내부</t>
    </r>
    <r>
      <rPr>
        <sz val="11"/>
        <color theme="1"/>
        <rFont val="맑은 고딕"/>
        <family val="2"/>
        <charset val="129"/>
      </rPr>
      <t xml:space="preserve">) 30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2"/>
        <charset val="129"/>
      </rPr>
      <t xml:space="preserve">×2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2"/>
        <charset val="129"/>
      </rPr>
      <t xml:space="preserve">×10</t>
    </r>
    <r>
      <rPr>
        <sz val="11"/>
        <color theme="1"/>
        <rFont val="WenQuanYi Zen Hei"/>
        <family val="2"/>
      </rPr>
      <t xml:space="preserve">천원</t>
    </r>
  </si>
  <si>
    <r>
      <rPr>
        <sz val="11"/>
        <color theme="1"/>
        <rFont val="맑은 고딕"/>
        <family val="2"/>
        <charset val="129"/>
      </rPr>
      <t xml:space="preserve">4</t>
    </r>
    <r>
      <rPr>
        <sz val="11"/>
        <color theme="1"/>
        <rFont val="WenQuanYi Zen Hei"/>
        <family val="2"/>
      </rPr>
      <t xml:space="preserve">분기</t>
    </r>
  </si>
  <si>
    <t xml:space="preserve">산재예방물품</t>
  </si>
  <si>
    <r>
      <rPr>
        <sz val="11"/>
        <color theme="1"/>
        <rFont val="맑은 고딕"/>
        <family val="2"/>
        <charset val="129"/>
      </rPr>
      <t xml:space="preserve">3-</t>
    </r>
    <r>
      <rPr>
        <sz val="11"/>
        <color theme="1"/>
        <rFont val="WenQuanYi Zen Hei"/>
        <family val="2"/>
      </rPr>
      <t xml:space="preserve">나</t>
    </r>
    <r>
      <rPr>
        <sz val="11"/>
        <color theme="1"/>
        <rFont val="맑은 고딕"/>
        <family val="2"/>
        <charset val="129"/>
      </rPr>
      <t xml:space="preserve">. </t>
    </r>
    <r>
      <rPr>
        <sz val="11"/>
        <color theme="1"/>
        <rFont val="WenQuanYi Zen Hei"/>
        <family val="2"/>
      </rPr>
      <t xml:space="preserve">내근직 연간 </t>
    </r>
    <r>
      <rPr>
        <sz val="11"/>
        <color theme="1"/>
        <rFont val="맑은 고딕"/>
        <family val="2"/>
        <charset val="129"/>
      </rPr>
      <t xml:space="preserve">200</t>
    </r>
    <r>
      <rPr>
        <sz val="11"/>
        <color theme="1"/>
        <rFont val="WenQuanYi Zen Hei"/>
        <family val="2"/>
      </rPr>
      <t xml:space="preserve">만원 지급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WenQuanYi Zen Hei"/>
        <family val="2"/>
      </rPr>
      <t xml:space="preserve">사무안전질환예방비 등 분기별 </t>
    </r>
    <r>
      <rPr>
        <sz val="11"/>
        <color theme="1"/>
        <rFont val="맑은 고딕"/>
        <family val="2"/>
        <charset val="129"/>
      </rPr>
      <t xml:space="preserve">50</t>
    </r>
    <r>
      <rPr>
        <sz val="11"/>
        <color theme="1"/>
        <rFont val="WenQuanYi Zen Hei"/>
        <family val="2"/>
      </rPr>
      <t xml:space="preserve">만원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</si>
  <si>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WenQuanYi Zen Hei"/>
        <family val="2"/>
      </rPr>
      <t xml:space="preserve">직원 산업재해 예방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WenQuanYi Zen Hei"/>
        <family val="2"/>
      </rPr>
      <t xml:space="preserve">산업재해 재발방지대책 안전관리물품 지원</t>
    </r>
  </si>
  <si>
    <r>
      <rPr>
        <sz val="11"/>
        <color theme="1"/>
        <rFont val="맑은 고딕"/>
        <family val="2"/>
        <charset val="129"/>
      </rPr>
      <t xml:space="preserve">= 12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2"/>
        <charset val="129"/>
      </rPr>
      <t xml:space="preserve">×50</t>
    </r>
    <r>
      <rPr>
        <sz val="11"/>
        <color theme="1"/>
        <rFont val="WenQuanYi Zen Hei"/>
        <family val="2"/>
      </rPr>
      <t xml:space="preserve">천원</t>
    </r>
  </si>
  <si>
    <t xml:space="preserve">응급키트</t>
  </si>
  <si>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WenQuanYi Zen Hei"/>
        <family val="2"/>
      </rPr>
      <t xml:space="preserve">직원 산업재해 예방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WenQuanYi Zen Hei"/>
        <family val="2"/>
      </rPr>
      <t xml:space="preserve">비상상황 대비 대응 안전관리물품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WenQuanYi Zen Hei"/>
        <family val="2"/>
      </rPr>
      <t xml:space="preserve">화재대피용 방연마스크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WenQuanYi Zen Hei"/>
        <family val="2"/>
      </rPr>
      <t xml:space="preserve">지원</t>
    </r>
  </si>
  <si>
    <r>
      <rPr>
        <sz val="11"/>
        <color theme="1"/>
        <rFont val="맑은 고딕"/>
        <family val="2"/>
        <charset val="129"/>
      </rPr>
      <t xml:space="preserve">= 82</t>
    </r>
    <r>
      <rPr>
        <sz val="11"/>
        <color theme="1"/>
        <rFont val="WenQuanYi Zen Hei"/>
        <family val="2"/>
      </rPr>
      <t xml:space="preserve">개</t>
    </r>
    <r>
      <rPr>
        <sz val="11"/>
        <color theme="1"/>
        <rFont val="맑은 고딕"/>
        <family val="2"/>
        <charset val="129"/>
      </rPr>
      <t xml:space="preserve">×150</t>
    </r>
    <r>
      <rPr>
        <sz val="11"/>
        <color theme="1"/>
        <rFont val="WenQuanYi Zen Hei"/>
        <family val="2"/>
      </rPr>
      <t xml:space="preserve">천원</t>
    </r>
  </si>
  <si>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WenQuanYi Zen Hei"/>
        <family val="2"/>
      </rPr>
      <t xml:space="preserve">직원 산업재해 예방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WenQuanYi Zen Hei"/>
        <family val="2"/>
      </rPr>
      <t xml:space="preserve">비상상황 대비 대응 안전관리물품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WenQuanYi Zen Hei"/>
        <family val="2"/>
      </rPr>
      <t xml:space="preserve">휴대용 응급키트</t>
    </r>
    <r>
      <rPr>
        <sz val="11"/>
        <color theme="1"/>
        <rFont val="맑은 고딕"/>
        <family val="2"/>
        <charset val="129"/>
      </rPr>
      <t xml:space="preserve">)</t>
    </r>
    <r>
      <rPr>
        <sz val="11"/>
        <color theme="1"/>
        <rFont val="WenQuanYi Zen Hei"/>
        <family val="2"/>
      </rPr>
      <t xml:space="preserve">지원</t>
    </r>
  </si>
  <si>
    <r>
      <rPr>
        <sz val="11"/>
        <color theme="1"/>
        <rFont val="맑은 고딕"/>
        <family val="2"/>
        <charset val="129"/>
      </rPr>
      <t xml:space="preserve">= 410</t>
    </r>
    <r>
      <rPr>
        <sz val="11"/>
        <color theme="1"/>
        <rFont val="WenQuanYi Zen Hei"/>
        <family val="2"/>
      </rPr>
      <t xml:space="preserve">개</t>
    </r>
    <r>
      <rPr>
        <sz val="11"/>
        <color theme="1"/>
        <rFont val="맑은 고딕"/>
        <family val="2"/>
        <charset val="129"/>
      </rPr>
      <t xml:space="preserve">×1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2"/>
        <charset val="129"/>
      </rPr>
      <t xml:space="preserve">×30</t>
    </r>
    <r>
      <rPr>
        <sz val="11"/>
        <color theme="1"/>
        <rFont val="WenQuanYi Zen Hei"/>
        <family val="2"/>
      </rPr>
      <t xml:space="preserve">천원</t>
    </r>
  </si>
  <si>
    <t xml:space="preserve">안전보호구</t>
  </si>
  <si>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WenQuanYi Zen Hei"/>
        <family val="2"/>
      </rPr>
      <t xml:space="preserve">직원 산업재해 예방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WenQuanYi Zen Hei"/>
        <family val="2"/>
      </rPr>
      <t xml:space="preserve">안전보호구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WenQuanYi Zen Hei"/>
        <family val="2"/>
      </rPr>
      <t xml:space="preserve">안전모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WenQuanYi Zen Hei"/>
        <family val="2"/>
      </rPr>
      <t xml:space="preserve">안전대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WenQuanYi Zen Hei"/>
        <family val="2"/>
      </rPr>
      <t xml:space="preserve">등 지급</t>
    </r>
  </si>
  <si>
    <r>
      <rPr>
        <sz val="11"/>
        <color theme="1"/>
        <rFont val="맑은 고딕"/>
        <family val="2"/>
        <charset val="129"/>
      </rPr>
      <t xml:space="preserve">= (</t>
    </r>
    <r>
      <rPr>
        <sz val="11"/>
        <color theme="1"/>
        <rFont val="WenQuanYi Zen Hei"/>
        <family val="2"/>
      </rPr>
      <t xml:space="preserve">채용형 인턴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WenQuanYi Zen Hei"/>
        <family val="2"/>
      </rPr>
      <t xml:space="preserve">기간제근로자 직원</t>
    </r>
    <r>
      <rPr>
        <sz val="11"/>
        <color theme="1"/>
        <rFont val="맑은 고딕"/>
        <family val="2"/>
        <charset val="129"/>
      </rPr>
      <t xml:space="preserve">) 70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2"/>
        <charset val="129"/>
      </rPr>
      <t xml:space="preserve">×86</t>
    </r>
    <r>
      <rPr>
        <sz val="11"/>
        <color theme="1"/>
        <rFont val="WenQuanYi Zen Hei"/>
        <family val="2"/>
      </rPr>
      <t xml:space="preserve">천원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WenQuanYi Zen Hei"/>
        <family val="2"/>
      </rPr>
      <t xml:space="preserve">안전모 </t>
    </r>
    <r>
      <rPr>
        <sz val="11"/>
        <color theme="1"/>
        <rFont val="맑은 고딕"/>
        <family val="2"/>
        <charset val="129"/>
      </rPr>
      <t xml:space="preserve">6</t>
    </r>
    <r>
      <rPr>
        <sz val="11"/>
        <color theme="1"/>
        <rFont val="WenQuanYi Zen Hei"/>
        <family val="2"/>
      </rPr>
      <t xml:space="preserve">천원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WenQuanYi Zen Hei"/>
        <family val="2"/>
      </rPr>
      <t xml:space="preserve">안전대 </t>
    </r>
    <r>
      <rPr>
        <sz val="11"/>
        <color theme="1"/>
        <rFont val="맑은 고딕"/>
        <family val="2"/>
        <charset val="129"/>
      </rPr>
      <t xml:space="preserve">100</t>
    </r>
    <r>
      <rPr>
        <sz val="11"/>
        <color theme="1"/>
        <rFont val="WenQuanYi Zen Hei"/>
        <family val="2"/>
      </rPr>
      <t xml:space="preserve">천원</t>
    </r>
    <r>
      <rPr>
        <sz val="11"/>
        <color theme="1"/>
        <rFont val="맑은 고딕"/>
        <family val="2"/>
        <charset val="129"/>
      </rPr>
      <t xml:space="preserve">) + (</t>
    </r>
    <r>
      <rPr>
        <sz val="11"/>
        <color theme="1"/>
        <rFont val="WenQuanYi Zen Hei"/>
        <family val="2"/>
      </rPr>
      <t xml:space="preserve">안전모 구매</t>
    </r>
    <r>
      <rPr>
        <sz val="11"/>
        <color theme="1"/>
        <rFont val="맑은 고딕"/>
        <family val="2"/>
        <charset val="129"/>
      </rPr>
      <t xml:space="preserve">) 1,500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2"/>
        <charset val="129"/>
      </rPr>
      <t xml:space="preserve">×6</t>
    </r>
    <r>
      <rPr>
        <sz val="11"/>
        <color theme="1"/>
        <rFont val="WenQuanYi Zen Hei"/>
        <family val="2"/>
      </rPr>
      <t xml:space="preserve">천원 </t>
    </r>
    <r>
      <rPr>
        <sz val="11"/>
        <color theme="1"/>
        <rFont val="맑은 고딕"/>
        <family val="2"/>
        <charset val="129"/>
      </rPr>
      <t xml:space="preserve">+ (</t>
    </r>
    <r>
      <rPr>
        <sz val="11"/>
        <color theme="1"/>
        <rFont val="WenQuanYi Zen Hei"/>
        <family val="2"/>
      </rPr>
      <t xml:space="preserve">안전대 구매</t>
    </r>
    <r>
      <rPr>
        <sz val="11"/>
        <color theme="1"/>
        <rFont val="맑은 고딕"/>
        <family val="2"/>
        <charset val="129"/>
      </rPr>
      <t xml:space="preserve">) 150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2"/>
        <charset val="129"/>
      </rPr>
      <t xml:space="preserve">×80</t>
    </r>
    <r>
      <rPr>
        <sz val="11"/>
        <color theme="1"/>
        <rFont val="WenQuanYi Zen Hei"/>
        <family val="2"/>
      </rPr>
      <t xml:space="preserve">천원</t>
    </r>
  </si>
  <si>
    <t xml:space="preserve">사무안전질환</t>
  </si>
  <si>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WenQuanYi Zen Hei"/>
        <family val="2"/>
      </rPr>
      <t xml:space="preserve">직원 산업재해 예방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WenQuanYi Zen Hei"/>
        <family val="2"/>
      </rPr>
      <t xml:space="preserve">사무안전질환 예방물품 지급</t>
    </r>
  </si>
  <si>
    <r>
      <rPr>
        <sz val="11"/>
        <color theme="1"/>
        <rFont val="맑은 고딕"/>
        <family val="2"/>
        <charset val="129"/>
      </rPr>
      <t xml:space="preserve">= 450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2"/>
        <charset val="129"/>
      </rPr>
      <t xml:space="preserve">×1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2"/>
        <charset val="129"/>
      </rPr>
      <t xml:space="preserve">×70</t>
    </r>
    <r>
      <rPr>
        <sz val="11"/>
        <color theme="1"/>
        <rFont val="WenQuanYi Zen Hei"/>
        <family val="2"/>
      </rPr>
      <t xml:space="preserve">천원</t>
    </r>
  </si>
  <si>
    <r>
      <rPr>
        <sz val="11"/>
        <color theme="1"/>
        <rFont val="맑은 고딕"/>
        <family val="2"/>
        <charset val="129"/>
      </rPr>
      <t xml:space="preserve">= 438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2"/>
        <charset val="129"/>
      </rPr>
      <t xml:space="preserve">×1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2"/>
        <charset val="129"/>
      </rPr>
      <t xml:space="preserve">×72</t>
    </r>
    <r>
      <rPr>
        <sz val="11"/>
        <color theme="1"/>
        <rFont val="WenQuanYi Zen Hei"/>
        <family val="2"/>
      </rPr>
      <t xml:space="preserve">천원</t>
    </r>
  </si>
  <si>
    <t xml:space="preserve">사무안전질환예방 물품 438명(행정)*4회*250,000원</t>
  </si>
  <si>
    <r>
      <rPr>
        <sz val="11"/>
        <color theme="1"/>
        <rFont val="맑은 고딕"/>
        <family val="2"/>
        <charset val="129"/>
      </rPr>
      <t xml:space="preserve">=438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2"/>
        <charset val="129"/>
      </rPr>
      <t xml:space="preserve">*4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2"/>
        <charset val="129"/>
      </rPr>
      <t xml:space="preserve">*250</t>
    </r>
    <r>
      <rPr>
        <sz val="11"/>
        <color theme="1"/>
        <rFont val="WenQuanYi Zen Hei"/>
        <family val="2"/>
      </rPr>
      <t xml:space="preserve">천원</t>
    </r>
  </si>
  <si>
    <t xml:space="preserve">해외출장</t>
  </si>
  <si>
    <r>
      <rPr>
        <sz val="11"/>
        <color theme="1"/>
        <rFont val="맑은 고딕"/>
        <family val="2"/>
        <charset val="129"/>
      </rPr>
      <t xml:space="preserve">5-1-2. </t>
    </r>
    <r>
      <rPr>
        <sz val="11"/>
        <color theme="1"/>
        <rFont val="WenQuanYi Zen Hei"/>
        <family val="2"/>
      </rPr>
      <t xml:space="preserve">안전인증실</t>
    </r>
  </si>
  <si>
    <t xml:space="preserve">해외출장 시 회의비</t>
  </si>
  <si>
    <t xml:space="preserve">해외출장 시 홍보물품비</t>
  </si>
  <si>
    <t xml:space="preserve">지정검사기관</t>
  </si>
  <si>
    <r>
      <rPr>
        <sz val="11"/>
        <color theme="1"/>
        <rFont val="맑은 고딕"/>
        <family val="2"/>
        <charset val="129"/>
      </rPr>
      <t xml:space="preserve">12-</t>
    </r>
    <r>
      <rPr>
        <sz val="11"/>
        <color theme="1"/>
        <rFont val="WenQuanYi Zen Hei"/>
        <family val="2"/>
      </rPr>
      <t xml:space="preserve">마</t>
    </r>
    <r>
      <rPr>
        <sz val="11"/>
        <color theme="1"/>
        <rFont val="맑은 고딕"/>
        <family val="2"/>
        <charset val="129"/>
      </rPr>
      <t xml:space="preserve">. </t>
    </r>
    <r>
      <rPr>
        <sz val="11"/>
        <color theme="1"/>
        <rFont val="WenQuanYi Zen Hei"/>
        <family val="2"/>
      </rPr>
      <t xml:space="preserve">지정검사기관 관계 재정립을 통한 고용안정성 확보</t>
    </r>
  </si>
  <si>
    <r>
      <rPr>
        <sz val="11"/>
        <color theme="1"/>
        <rFont val="맑은 고딕"/>
        <family val="2"/>
        <charset val="129"/>
      </rPr>
      <t xml:space="preserve">3-1-2. </t>
    </r>
    <r>
      <rPr>
        <sz val="11"/>
        <color theme="1"/>
        <rFont val="WenQuanYi Zen Hei"/>
        <family val="2"/>
      </rPr>
      <t xml:space="preserve">안전제도실</t>
    </r>
  </si>
  <si>
    <r>
      <rPr>
        <sz val="11"/>
        <color theme="1"/>
        <rFont val="맑은 고딕"/>
        <family val="2"/>
        <charset val="129"/>
      </rPr>
      <t xml:space="preserve">3-2-3. </t>
    </r>
    <r>
      <rPr>
        <sz val="11"/>
        <color theme="1"/>
        <rFont val="WenQuanYi Zen Hei"/>
        <family val="2"/>
      </rPr>
      <t xml:space="preserve">지정검사기관 검사품질 향상 지원</t>
    </r>
  </si>
  <si>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WenQuanYi Zen Hei"/>
        <family val="2"/>
      </rPr>
      <t xml:space="preserve">점검 및 평가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WenQuanYi Zen Hei"/>
        <family val="2"/>
      </rPr>
      <t xml:space="preserve">지정검사기관 품질평가 관련 회의</t>
    </r>
  </si>
  <si>
    <r>
      <rPr>
        <sz val="11"/>
        <color theme="1"/>
        <rFont val="맑은 고딕"/>
        <family val="2"/>
        <charset val="129"/>
      </rPr>
      <t xml:space="preserve">=(</t>
    </r>
    <r>
      <rPr>
        <sz val="11"/>
        <color theme="1"/>
        <rFont val="WenQuanYi Zen Hei"/>
        <family val="2"/>
      </rPr>
      <t xml:space="preserve">외부</t>
    </r>
    <r>
      <rPr>
        <sz val="11"/>
        <color theme="1"/>
        <rFont val="맑은 고딕"/>
        <family val="2"/>
        <charset val="129"/>
      </rPr>
      <t xml:space="preserve">) 8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2"/>
        <charset val="129"/>
      </rPr>
      <t xml:space="preserve">×2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2"/>
        <charset val="129"/>
      </rPr>
      <t xml:space="preserve">×30</t>
    </r>
    <r>
      <rPr>
        <sz val="11"/>
        <color theme="1"/>
        <rFont val="WenQuanYi Zen Hei"/>
        <family val="2"/>
      </rPr>
      <t xml:space="preserve">천원</t>
    </r>
  </si>
  <si>
    <r>
      <rPr>
        <sz val="11"/>
        <color theme="1"/>
        <rFont val="맑은 고딕"/>
        <family val="2"/>
        <charset val="129"/>
      </rPr>
      <t xml:space="preserve">= 8</t>
    </r>
    <r>
      <rPr>
        <sz val="11"/>
        <color theme="1"/>
        <rFont val="WenQuanYi Zen Hei"/>
        <family val="2"/>
      </rPr>
      <t xml:space="preserve">명 </t>
    </r>
    <r>
      <rPr>
        <sz val="11"/>
        <color theme="1"/>
        <rFont val="맑은 고딕"/>
        <family val="2"/>
        <charset val="129"/>
      </rPr>
      <t xml:space="preserve">X 6</t>
    </r>
    <r>
      <rPr>
        <sz val="11"/>
        <color theme="1"/>
        <rFont val="WenQuanYi Zen Hei"/>
        <family val="2"/>
      </rPr>
      <t xml:space="preserve">회 </t>
    </r>
    <r>
      <rPr>
        <sz val="11"/>
        <color theme="1"/>
        <rFont val="맑은 고딕"/>
        <family val="2"/>
        <charset val="129"/>
      </rPr>
      <t xml:space="preserve">X 15</t>
    </r>
    <r>
      <rPr>
        <sz val="11"/>
        <color theme="1"/>
        <rFont val="WenQuanYi Zen Hei"/>
        <family val="2"/>
      </rPr>
      <t xml:space="preserve">천원</t>
    </r>
  </si>
  <si>
    <t xml:space="preserve">평가대상 기관 2개사 증가(총 6개사)</t>
  </si>
  <si>
    <t xml:space="preserve">국제표준화</t>
  </si>
  <si>
    <r>
      <rPr>
        <sz val="11"/>
        <color theme="1"/>
        <rFont val="맑은 고딕"/>
        <family val="2"/>
        <charset val="129"/>
      </rPr>
      <t xml:space="preserve">3-1-4. </t>
    </r>
    <r>
      <rPr>
        <sz val="11"/>
        <color theme="1"/>
        <rFont val="WenQuanYi Zen Hei"/>
        <family val="2"/>
      </rPr>
      <t xml:space="preserve">승강기 관련 안전기준 연구개발 및 국제 표준화 활동</t>
    </r>
  </si>
  <si>
    <t xml:space="preserve">국외업무여비</t>
  </si>
  <si>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WenQuanYi Zen Hei"/>
        <family val="2"/>
      </rPr>
      <t xml:space="preserve">국제표준화</t>
    </r>
    <r>
      <rPr>
        <sz val="11"/>
        <color theme="1"/>
        <rFont val="맑은 고딕"/>
        <family val="2"/>
        <charset val="129"/>
      </rPr>
      <t xml:space="preserve">) 4</t>
    </r>
    <r>
      <rPr>
        <sz val="11"/>
        <color theme="1"/>
        <rFont val="WenQuanYi Zen Hei"/>
        <family val="2"/>
      </rPr>
      <t xml:space="preserve">월 </t>
    </r>
    <r>
      <rPr>
        <sz val="11"/>
        <color theme="1"/>
        <rFont val="맑은 고딕"/>
        <family val="2"/>
        <charset val="129"/>
      </rPr>
      <t xml:space="preserve">ISO TC 178/WG 4 6 </t>
    </r>
    <r>
      <rPr>
        <sz val="11"/>
        <color theme="1"/>
        <rFont val="WenQuanYi Zen Hei"/>
        <family val="2"/>
      </rPr>
      <t xml:space="preserve">회의 참석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WenQuanYi Zen Hei"/>
        <family val="2"/>
      </rPr>
      <t xml:space="preserve">이탈리아 또는 핀란드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</si>
  <si>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맑은 고딕"/>
        <family val="2"/>
        <charset val="129"/>
      </rPr>
      <t xml:space="preserve">= 2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2"/>
        <charset val="129"/>
      </rPr>
      <t xml:space="preserve">×(4,112.95</t>
    </r>
    <r>
      <rPr>
        <sz val="11"/>
        <color theme="1"/>
        <rFont val="WenQuanYi Zen Hei"/>
        <family val="2"/>
      </rPr>
      <t xml:space="preserve">천원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WenQuanYi Zen Hei"/>
        <family val="2"/>
      </rPr>
      <t xml:space="preserve">운임 </t>
    </r>
    <r>
      <rPr>
        <sz val="11"/>
        <color theme="1"/>
        <rFont val="맑은 고딕"/>
        <family val="2"/>
        <charset val="129"/>
      </rPr>
      <t xml:space="preserve">2,284 + </t>
    </r>
    <r>
      <rPr>
        <sz val="11"/>
        <color theme="1"/>
        <rFont val="WenQuanYi Zen Hei"/>
        <family val="2"/>
      </rPr>
      <t xml:space="preserve">도시이동 </t>
    </r>
    <r>
      <rPr>
        <sz val="11"/>
        <color theme="1"/>
        <rFont val="맑은 고딕"/>
        <family val="2"/>
        <charset val="129"/>
      </rPr>
      <t xml:space="preserve">200 + 5</t>
    </r>
    <r>
      <rPr>
        <sz val="11"/>
        <color theme="1"/>
        <rFont val="WenQuanYi Zen Hei"/>
        <family val="2"/>
      </rPr>
      <t xml:space="preserve">일</t>
    </r>
    <r>
      <rPr>
        <sz val="11"/>
        <color theme="1"/>
        <rFont val="맑은 고딕"/>
        <family val="2"/>
        <charset val="129"/>
      </rPr>
      <t xml:space="preserve">×(</t>
    </r>
    <r>
      <rPr>
        <sz val="11"/>
        <color theme="1"/>
        <rFont val="WenQuanYi Zen Hei"/>
        <family val="2"/>
      </rPr>
      <t xml:space="preserve">일비 </t>
    </r>
    <r>
      <rPr>
        <sz val="11"/>
        <color theme="1"/>
        <rFont val="맑은 고딕"/>
        <family val="2"/>
        <charset val="129"/>
      </rPr>
      <t xml:space="preserve">$30 + </t>
    </r>
    <r>
      <rPr>
        <sz val="11"/>
        <color theme="1"/>
        <rFont val="WenQuanYi Zen Hei"/>
        <family val="2"/>
      </rPr>
      <t xml:space="preserve">숙박비 </t>
    </r>
    <r>
      <rPr>
        <sz val="11"/>
        <color theme="1"/>
        <rFont val="맑은 고딕"/>
        <family val="2"/>
        <charset val="129"/>
      </rPr>
      <t xml:space="preserve">$137 + </t>
    </r>
    <r>
      <rPr>
        <sz val="11"/>
        <color theme="1"/>
        <rFont val="WenQuanYi Zen Hei"/>
        <family val="2"/>
      </rPr>
      <t xml:space="preserve">식비 </t>
    </r>
    <r>
      <rPr>
        <sz val="11"/>
        <color theme="1"/>
        <rFont val="맑은 고딕"/>
        <family val="2"/>
        <charset val="129"/>
      </rPr>
      <t xml:space="preserve">$59) + </t>
    </r>
    <r>
      <rPr>
        <sz val="11"/>
        <color theme="1"/>
        <rFont val="WenQuanYi Zen Hei"/>
        <family val="2"/>
      </rPr>
      <t xml:space="preserve">보험 </t>
    </r>
    <r>
      <rPr>
        <sz val="11"/>
        <color theme="1"/>
        <rFont val="맑은 고딕"/>
        <family val="2"/>
        <charset val="129"/>
      </rPr>
      <t xml:space="preserve">30)+</t>
    </r>
    <r>
      <rPr>
        <sz val="11"/>
        <color theme="1"/>
        <rFont val="WenQuanYi Zen Hei"/>
        <family val="2"/>
      </rPr>
      <t xml:space="preserve">기타</t>
    </r>
    <r>
      <rPr>
        <sz val="11"/>
        <color theme="1"/>
        <rFont val="맑은 고딕"/>
        <family val="2"/>
        <charset val="129"/>
      </rPr>
      <t xml:space="preserve">(49.100) / * </t>
    </r>
    <r>
      <rPr>
        <sz val="11"/>
        <color theme="1"/>
        <rFont val="WenQuanYi Zen Hei"/>
        <family val="2"/>
      </rPr>
      <t xml:space="preserve">나등급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WenQuanYi Zen Hei"/>
        <family val="2"/>
      </rPr>
      <t xml:space="preserve">환율 </t>
    </r>
    <r>
      <rPr>
        <sz val="11"/>
        <color theme="1"/>
        <rFont val="맑은 고딕"/>
        <family val="2"/>
        <charset val="129"/>
      </rPr>
      <t xml:space="preserve">1415</t>
    </r>
    <r>
      <rPr>
        <sz val="11"/>
        <color theme="1"/>
        <rFont val="WenQuanYi Zen Hei"/>
        <family val="2"/>
      </rPr>
      <t xml:space="preserve">원</t>
    </r>
  </si>
  <si>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WenQuanYi Zen Hei"/>
        <family val="2"/>
      </rPr>
      <t xml:space="preserve">국제표준화</t>
    </r>
    <r>
      <rPr>
        <sz val="11"/>
        <color theme="1"/>
        <rFont val="맑은 고딕"/>
        <family val="2"/>
        <charset val="129"/>
      </rPr>
      <t xml:space="preserve">) 4</t>
    </r>
    <r>
      <rPr>
        <sz val="11"/>
        <color theme="1"/>
        <rFont val="WenQuanYi Zen Hei"/>
        <family val="2"/>
      </rPr>
      <t xml:space="preserve">월 </t>
    </r>
    <r>
      <rPr>
        <sz val="11"/>
        <color theme="1"/>
        <rFont val="맑은 고딕"/>
        <family val="2"/>
        <charset val="129"/>
      </rPr>
      <t xml:space="preserve">ISO TC 178/WG 4 6 </t>
    </r>
    <r>
      <rPr>
        <sz val="11"/>
        <color theme="1"/>
        <rFont val="WenQuanYi Zen Hei"/>
        <family val="2"/>
      </rPr>
      <t xml:space="preserve">회의 참석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WenQuanYi Zen Hei"/>
        <family val="2"/>
      </rPr>
      <t xml:space="preserve">핀란드</t>
    </r>
    <r>
      <rPr>
        <sz val="11"/>
        <color theme="1"/>
        <rFont val="맑은 고딕"/>
        <family val="2"/>
        <charset val="129"/>
      </rPr>
      <t xml:space="preserve">)</t>
    </r>
  </si>
  <si>
    <t xml:space="preserve">국제세미나</t>
  </si>
  <si>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WenQuanYi Zen Hei"/>
        <family val="2"/>
      </rPr>
      <t xml:space="preserve">국제표준화</t>
    </r>
    <r>
      <rPr>
        <sz val="11"/>
        <color theme="1"/>
        <rFont val="맑은 고딕"/>
        <family val="2"/>
        <charset val="129"/>
      </rPr>
      <t xml:space="preserve">) 9</t>
    </r>
    <r>
      <rPr>
        <sz val="11"/>
        <color theme="1"/>
        <rFont val="WenQuanYi Zen Hei"/>
        <family val="2"/>
      </rPr>
      <t xml:space="preserve">월 </t>
    </r>
    <r>
      <rPr>
        <sz val="11"/>
        <color theme="1"/>
        <rFont val="맑은 고딕"/>
        <family val="2"/>
        <charset val="129"/>
      </rPr>
      <t xml:space="preserve">PALEA </t>
    </r>
    <r>
      <rPr>
        <sz val="11"/>
        <color theme="1"/>
        <rFont val="WenQuanYi Zen Hei"/>
        <family val="2"/>
      </rPr>
      <t xml:space="preserve">국제세미나 참석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WenQuanYi Zen Hei"/>
        <family val="2"/>
      </rPr>
      <t xml:space="preserve">미정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</si>
  <si>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맑은 고딕"/>
        <family val="2"/>
        <charset val="129"/>
      </rPr>
      <t xml:space="preserve">= 2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2"/>
        <charset val="129"/>
      </rPr>
      <t xml:space="preserve">×(1,854.93</t>
    </r>
    <r>
      <rPr>
        <sz val="11"/>
        <color theme="1"/>
        <rFont val="WenQuanYi Zen Hei"/>
        <family val="2"/>
      </rPr>
      <t xml:space="preserve">원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WenQuanYi Zen Hei"/>
        <family val="2"/>
      </rPr>
      <t xml:space="preserve">운임 </t>
    </r>
    <r>
      <rPr>
        <sz val="11"/>
        <color theme="1"/>
        <rFont val="맑은 고딕"/>
        <family val="2"/>
        <charset val="129"/>
      </rPr>
      <t xml:space="preserve">700 + 3</t>
    </r>
    <r>
      <rPr>
        <sz val="11"/>
        <color theme="1"/>
        <rFont val="WenQuanYi Zen Hei"/>
        <family val="2"/>
      </rPr>
      <t xml:space="preserve">일</t>
    </r>
    <r>
      <rPr>
        <sz val="11"/>
        <color theme="1"/>
        <rFont val="맑은 고딕"/>
        <family val="2"/>
        <charset val="129"/>
      </rPr>
      <t xml:space="preserve">×(</t>
    </r>
    <r>
      <rPr>
        <sz val="11"/>
        <color theme="1"/>
        <rFont val="WenQuanYi Zen Hei"/>
        <family val="2"/>
      </rPr>
      <t xml:space="preserve">일비 </t>
    </r>
    <r>
      <rPr>
        <sz val="11"/>
        <color theme="1"/>
        <rFont val="맑은 고딕"/>
        <family val="2"/>
        <charset val="129"/>
      </rPr>
      <t xml:space="preserve">$30 + </t>
    </r>
    <r>
      <rPr>
        <sz val="11"/>
        <color theme="1"/>
        <rFont val="WenQuanYi Zen Hei"/>
        <family val="2"/>
      </rPr>
      <t xml:space="preserve">숙박비 </t>
    </r>
    <r>
      <rPr>
        <sz val="11"/>
        <color theme="1"/>
        <rFont val="맑은 고딕"/>
        <family val="2"/>
        <charset val="129"/>
      </rPr>
      <t xml:space="preserve">$176 + </t>
    </r>
    <r>
      <rPr>
        <sz val="11"/>
        <color theme="1"/>
        <rFont val="WenQuanYi Zen Hei"/>
        <family val="2"/>
      </rPr>
      <t xml:space="preserve">식비 </t>
    </r>
    <r>
      <rPr>
        <sz val="11"/>
        <color theme="1"/>
        <rFont val="맑은 고딕"/>
        <family val="2"/>
        <charset val="129"/>
      </rPr>
      <t xml:space="preserve">$59) + </t>
    </r>
    <r>
      <rPr>
        <sz val="11"/>
        <color theme="1"/>
        <rFont val="WenQuanYi Zen Hei"/>
        <family val="2"/>
      </rPr>
      <t xml:space="preserve">보험 </t>
    </r>
    <r>
      <rPr>
        <sz val="11"/>
        <color theme="1"/>
        <rFont val="맑은 고딕"/>
        <family val="2"/>
        <charset val="129"/>
      </rPr>
      <t xml:space="preserve">30)+</t>
    </r>
    <r>
      <rPr>
        <sz val="11"/>
        <color theme="1"/>
        <rFont val="WenQuanYi Zen Hei"/>
        <family val="2"/>
      </rPr>
      <t xml:space="preserve">기타</t>
    </r>
    <r>
      <rPr>
        <sz val="11"/>
        <color theme="1"/>
        <rFont val="맑은 고딕"/>
        <family val="2"/>
        <charset val="129"/>
      </rPr>
      <t xml:space="preserve">(0.15)
* </t>
    </r>
    <r>
      <rPr>
        <sz val="11"/>
        <color theme="1"/>
        <rFont val="WenQuanYi Zen Hei"/>
        <family val="2"/>
      </rPr>
      <t xml:space="preserve">가등급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WenQuanYi Zen Hei"/>
        <family val="2"/>
      </rPr>
      <t xml:space="preserve">미정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WenQuanYi Zen Hei"/>
        <family val="2"/>
      </rPr>
      <t xml:space="preserve">인천↔싱가포르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WenQuanYi Zen Hei"/>
        <family val="2"/>
      </rPr>
      <t xml:space="preserve">의장국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WenQuanYi Zen Hei"/>
        <family val="2"/>
      </rPr>
      <t xml:space="preserve">기준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WenQuanYi Zen Hei"/>
        <family val="2"/>
      </rPr>
      <t xml:space="preserve">환율 </t>
    </r>
    <r>
      <rPr>
        <sz val="11"/>
        <color theme="1"/>
        <rFont val="맑은 고딕"/>
        <family val="2"/>
        <charset val="129"/>
      </rPr>
      <t xml:space="preserve">1415</t>
    </r>
    <r>
      <rPr>
        <sz val="11"/>
        <color theme="1"/>
        <rFont val="WenQuanYi Zen Hei"/>
        <family val="2"/>
      </rPr>
      <t xml:space="preserve">원</t>
    </r>
  </si>
  <si>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WenQuanYi Zen Hei"/>
        <family val="2"/>
      </rPr>
      <t xml:space="preserve">국제표준화</t>
    </r>
    <r>
      <rPr>
        <sz val="11"/>
        <color theme="1"/>
        <rFont val="맑은 고딕"/>
        <family val="2"/>
        <charset val="129"/>
      </rPr>
      <t xml:space="preserve">) 10</t>
    </r>
    <r>
      <rPr>
        <sz val="11"/>
        <color theme="1"/>
        <rFont val="WenQuanYi Zen Hei"/>
        <family val="2"/>
      </rPr>
      <t xml:space="preserve">월 </t>
    </r>
    <r>
      <rPr>
        <sz val="11"/>
        <color theme="1"/>
        <rFont val="맑은 고딕"/>
        <family val="2"/>
        <charset val="129"/>
      </rPr>
      <t xml:space="preserve">ISO TC 178/WG 4, 6, </t>
    </r>
    <r>
      <rPr>
        <sz val="11"/>
        <color theme="1"/>
        <rFont val="WenQuanYi Zen Hei"/>
        <family val="2"/>
      </rPr>
      <t xml:space="preserve">전체회의 회의 참석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WenQuanYi Zen Hei"/>
        <family val="2"/>
      </rPr>
      <t xml:space="preserve">이탈리아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</si>
  <si>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맑은 고딕"/>
        <family val="2"/>
        <charset val="129"/>
      </rPr>
      <t xml:space="preserve">= 2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2"/>
        <charset val="129"/>
      </rPr>
      <t xml:space="preserve">×(4,112.95</t>
    </r>
    <r>
      <rPr>
        <sz val="11"/>
        <color theme="1"/>
        <rFont val="WenQuanYi Zen Hei"/>
        <family val="2"/>
      </rPr>
      <t xml:space="preserve">천원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WenQuanYi Zen Hei"/>
        <family val="2"/>
      </rPr>
      <t xml:space="preserve">운임 </t>
    </r>
    <r>
      <rPr>
        <sz val="11"/>
        <color theme="1"/>
        <rFont val="맑은 고딕"/>
        <family val="2"/>
        <charset val="129"/>
      </rPr>
      <t xml:space="preserve">2,284 + </t>
    </r>
    <r>
      <rPr>
        <sz val="11"/>
        <color theme="1"/>
        <rFont val="WenQuanYi Zen Hei"/>
        <family val="2"/>
      </rPr>
      <t xml:space="preserve">도시이동 </t>
    </r>
    <r>
      <rPr>
        <sz val="11"/>
        <color theme="1"/>
        <rFont val="맑은 고딕"/>
        <family val="2"/>
        <charset val="129"/>
      </rPr>
      <t xml:space="preserve">200 + 5</t>
    </r>
    <r>
      <rPr>
        <sz val="11"/>
        <color theme="1"/>
        <rFont val="WenQuanYi Zen Hei"/>
        <family val="2"/>
      </rPr>
      <t xml:space="preserve">일</t>
    </r>
    <r>
      <rPr>
        <sz val="11"/>
        <color theme="1"/>
        <rFont val="맑은 고딕"/>
        <family val="2"/>
        <charset val="129"/>
      </rPr>
      <t xml:space="preserve">×(</t>
    </r>
    <r>
      <rPr>
        <sz val="11"/>
        <color theme="1"/>
        <rFont val="WenQuanYi Zen Hei"/>
        <family val="2"/>
      </rPr>
      <t xml:space="preserve">일비 </t>
    </r>
    <r>
      <rPr>
        <sz val="11"/>
        <color theme="1"/>
        <rFont val="맑은 고딕"/>
        <family val="2"/>
        <charset val="129"/>
      </rPr>
      <t xml:space="preserve">$30 + </t>
    </r>
    <r>
      <rPr>
        <sz val="11"/>
        <color theme="1"/>
        <rFont val="WenQuanYi Zen Hei"/>
        <family val="2"/>
      </rPr>
      <t xml:space="preserve">숙박비 </t>
    </r>
    <r>
      <rPr>
        <sz val="11"/>
        <color theme="1"/>
        <rFont val="맑은 고딕"/>
        <family val="2"/>
        <charset val="129"/>
      </rPr>
      <t xml:space="preserve">$137 + </t>
    </r>
    <r>
      <rPr>
        <sz val="11"/>
        <color theme="1"/>
        <rFont val="WenQuanYi Zen Hei"/>
        <family val="2"/>
      </rPr>
      <t xml:space="preserve">식비 </t>
    </r>
    <r>
      <rPr>
        <sz val="11"/>
        <color theme="1"/>
        <rFont val="맑은 고딕"/>
        <family val="2"/>
        <charset val="129"/>
      </rPr>
      <t xml:space="preserve">$59) + </t>
    </r>
    <r>
      <rPr>
        <sz val="11"/>
        <color theme="1"/>
        <rFont val="WenQuanYi Zen Hei"/>
        <family val="2"/>
      </rPr>
      <t xml:space="preserve">보험 </t>
    </r>
    <r>
      <rPr>
        <sz val="11"/>
        <color theme="1"/>
        <rFont val="맑은 고딕"/>
        <family val="2"/>
        <charset val="129"/>
      </rPr>
      <t xml:space="preserve">30) +</t>
    </r>
    <r>
      <rPr>
        <sz val="11"/>
        <color theme="1"/>
        <rFont val="WenQuanYi Zen Hei"/>
        <family val="2"/>
      </rPr>
      <t xml:space="preserve">기타</t>
    </r>
    <r>
      <rPr>
        <sz val="11"/>
        <color theme="1"/>
        <rFont val="맑은 고딕"/>
        <family val="2"/>
        <charset val="129"/>
      </rPr>
      <t xml:space="preserve">(49.100)/ * </t>
    </r>
    <r>
      <rPr>
        <sz val="11"/>
        <color theme="1"/>
        <rFont val="WenQuanYi Zen Hei"/>
        <family val="2"/>
      </rPr>
      <t xml:space="preserve">나등급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WenQuanYi Zen Hei"/>
        <family val="2"/>
      </rPr>
      <t xml:space="preserve">환율 </t>
    </r>
    <r>
      <rPr>
        <sz val="11"/>
        <color theme="1"/>
        <rFont val="맑은 고딕"/>
        <family val="2"/>
        <charset val="129"/>
      </rPr>
      <t xml:space="preserve">1415</t>
    </r>
    <r>
      <rPr>
        <sz val="11"/>
        <color theme="1"/>
        <rFont val="WenQuanYi Zen Hei"/>
        <family val="2"/>
      </rPr>
      <t xml:space="preserve">원</t>
    </r>
  </si>
  <si>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WenQuanYi Zen Hei"/>
        <family val="2"/>
      </rPr>
      <t xml:space="preserve">지도지원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WenQuanYi Zen Hei"/>
        <family val="2"/>
      </rPr>
      <t xml:space="preserve">지정검사기관 지도지원에 관한 회의</t>
    </r>
  </si>
  <si>
    <r>
      <rPr>
        <sz val="11"/>
        <color theme="1"/>
        <rFont val="맑은 고딕"/>
        <family val="2"/>
        <charset val="129"/>
      </rPr>
      <t xml:space="preserve">=(</t>
    </r>
    <r>
      <rPr>
        <sz val="11"/>
        <color theme="1"/>
        <rFont val="WenQuanYi Zen Hei"/>
        <family val="2"/>
      </rPr>
      <t xml:space="preserve">내부</t>
    </r>
    <r>
      <rPr>
        <sz val="11"/>
        <color theme="1"/>
        <rFont val="맑은 고딕"/>
        <family val="2"/>
        <charset val="129"/>
      </rPr>
      <t xml:space="preserve">) 10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2"/>
        <charset val="129"/>
      </rPr>
      <t xml:space="preserve">×4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2"/>
        <charset val="129"/>
      </rPr>
      <t xml:space="preserve">×5</t>
    </r>
    <r>
      <rPr>
        <sz val="11"/>
        <color theme="1"/>
        <rFont val="WenQuanYi Zen Hei"/>
        <family val="2"/>
      </rPr>
      <t xml:space="preserve">천원 </t>
    </r>
    <r>
      <rPr>
        <sz val="11"/>
        <color theme="1"/>
        <rFont val="맑은 고딕"/>
        <family val="2"/>
        <charset val="129"/>
      </rPr>
      <t xml:space="preserve">+ (</t>
    </r>
    <r>
      <rPr>
        <sz val="11"/>
        <color theme="1"/>
        <rFont val="WenQuanYi Zen Hei"/>
        <family val="2"/>
      </rPr>
      <t xml:space="preserve">외부</t>
    </r>
    <r>
      <rPr>
        <sz val="11"/>
        <color theme="1"/>
        <rFont val="맑은 고딕"/>
        <family val="2"/>
        <charset val="129"/>
      </rPr>
      <t xml:space="preserve">) 7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2"/>
        <charset val="129"/>
      </rPr>
      <t xml:space="preserve">×6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2"/>
        <charset val="129"/>
      </rPr>
      <t xml:space="preserve">×30</t>
    </r>
    <r>
      <rPr>
        <sz val="11"/>
        <color theme="1"/>
        <rFont val="WenQuanYi Zen Hei"/>
        <family val="2"/>
      </rPr>
      <t xml:space="preserve">천원</t>
    </r>
  </si>
  <si>
    <r>
      <rPr>
        <sz val="11"/>
        <color theme="1"/>
        <rFont val="맑은 고딕"/>
        <family val="2"/>
        <charset val="129"/>
      </rPr>
      <t xml:space="preserve">= 9</t>
    </r>
    <r>
      <rPr>
        <sz val="11"/>
        <color theme="1"/>
        <rFont val="WenQuanYi Zen Hei"/>
        <family val="2"/>
      </rPr>
      <t xml:space="preserve">명 </t>
    </r>
    <r>
      <rPr>
        <sz val="11"/>
        <color theme="1"/>
        <rFont val="맑은 고딕"/>
        <family val="2"/>
        <charset val="129"/>
      </rPr>
      <t xml:space="preserve">X 10</t>
    </r>
    <r>
      <rPr>
        <sz val="11"/>
        <color theme="1"/>
        <rFont val="WenQuanYi Zen Hei"/>
        <family val="2"/>
      </rPr>
      <t xml:space="preserve">회 </t>
    </r>
    <r>
      <rPr>
        <sz val="11"/>
        <color theme="1"/>
        <rFont val="맑은 고딕"/>
        <family val="2"/>
        <charset val="129"/>
      </rPr>
      <t xml:space="preserve">X 15</t>
    </r>
    <r>
      <rPr>
        <sz val="11"/>
        <color theme="1"/>
        <rFont val="WenQuanYi Zen Hei"/>
        <family val="2"/>
      </rPr>
      <t xml:space="preserve">천원</t>
    </r>
  </si>
  <si>
    <t xml:space="preserve">검사협의회</t>
  </si>
  <si>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WenQuanYi Zen Hei"/>
        <family val="2"/>
      </rPr>
      <t xml:space="preserve">협의회 운영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WenQuanYi Zen Hei"/>
        <family val="2"/>
      </rPr>
      <t xml:space="preserve">실무회의 및 검사협의회 개최</t>
    </r>
  </si>
  <si>
    <r>
      <rPr>
        <sz val="11"/>
        <color theme="1"/>
        <rFont val="맑은 고딕"/>
        <family val="2"/>
        <charset val="129"/>
      </rPr>
      <t xml:space="preserve">=(</t>
    </r>
    <r>
      <rPr>
        <sz val="11"/>
        <color theme="1"/>
        <rFont val="WenQuanYi Zen Hei"/>
        <family val="2"/>
      </rPr>
      <t xml:space="preserve">외부</t>
    </r>
    <r>
      <rPr>
        <sz val="11"/>
        <color theme="1"/>
        <rFont val="맑은 고딕"/>
        <family val="2"/>
        <charset val="129"/>
      </rPr>
      <t xml:space="preserve">) 13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2"/>
        <charset val="129"/>
      </rPr>
      <t xml:space="preserve">×6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2"/>
        <charset val="129"/>
      </rPr>
      <t xml:space="preserve">×30</t>
    </r>
    <r>
      <rPr>
        <sz val="11"/>
        <color theme="1"/>
        <rFont val="WenQuanYi Zen Hei"/>
        <family val="2"/>
      </rPr>
      <t xml:space="preserve">천원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WenQuanYi Zen Hei"/>
        <family val="2"/>
      </rPr>
      <t xml:space="preserve">실무회의</t>
    </r>
    <r>
      <rPr>
        <sz val="11"/>
        <color theme="1"/>
        <rFont val="맑은 고딕"/>
        <family val="2"/>
        <charset val="129"/>
      </rPr>
      <t xml:space="preserve">)+15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2"/>
        <charset val="129"/>
      </rPr>
      <t xml:space="preserve">×2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2"/>
        <charset val="129"/>
      </rPr>
      <t xml:space="preserve">×30</t>
    </r>
    <r>
      <rPr>
        <sz val="11"/>
        <color theme="1"/>
        <rFont val="WenQuanYi Zen Hei"/>
        <family val="2"/>
      </rPr>
      <t xml:space="preserve">천원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WenQuanYi Zen Hei"/>
        <family val="2"/>
      </rPr>
      <t xml:space="preserve">검사협의회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</si>
  <si>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맑은 고딕"/>
        <family val="2"/>
        <charset val="129"/>
      </rPr>
      <t xml:space="preserve">= 20</t>
    </r>
    <r>
      <rPr>
        <sz val="11"/>
        <color theme="1"/>
        <rFont val="WenQuanYi Zen Hei"/>
        <family val="2"/>
      </rPr>
      <t xml:space="preserve">명 </t>
    </r>
    <r>
      <rPr>
        <sz val="11"/>
        <color theme="1"/>
        <rFont val="맑은 고딕"/>
        <family val="2"/>
        <charset val="129"/>
      </rPr>
      <t xml:space="preserve">X 10</t>
    </r>
    <r>
      <rPr>
        <sz val="11"/>
        <color theme="1"/>
        <rFont val="WenQuanYi Zen Hei"/>
        <family val="2"/>
      </rPr>
      <t xml:space="preserve">회 </t>
    </r>
    <r>
      <rPr>
        <sz val="11"/>
        <color theme="1"/>
        <rFont val="맑은 고딕"/>
        <family val="2"/>
        <charset val="129"/>
      </rPr>
      <t xml:space="preserve">X 15</t>
    </r>
    <r>
      <rPr>
        <sz val="11"/>
        <color theme="1"/>
        <rFont val="WenQuanYi Zen Hei"/>
        <family val="2"/>
      </rPr>
      <t xml:space="preserve">천원</t>
    </r>
  </si>
  <si>
    <t xml:space="preserve">공청회</t>
  </si>
  <si>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WenQuanYi Zen Hei"/>
        <family val="2"/>
      </rPr>
      <t xml:space="preserve">안전기준개발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WenQuanYi Zen Hei"/>
        <family val="2"/>
      </rPr>
      <t xml:space="preserve">신규 표준적용 관련 산업체 의견수렴을 위한 공청회 개최</t>
    </r>
  </si>
  <si>
    <r>
      <rPr>
        <sz val="11"/>
        <color theme="1"/>
        <rFont val="맑은 고딕"/>
        <family val="2"/>
        <charset val="129"/>
      </rPr>
      <t xml:space="preserve">= 100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2"/>
        <charset val="129"/>
      </rPr>
      <t xml:space="preserve">×10</t>
    </r>
    <r>
      <rPr>
        <sz val="11"/>
        <color theme="1"/>
        <rFont val="WenQuanYi Zen Hei"/>
        <family val="2"/>
      </rPr>
      <t xml:space="preserve">천원</t>
    </r>
  </si>
  <si>
    <r>
      <rPr>
        <sz val="11"/>
        <color theme="1"/>
        <rFont val="맑은 고딕"/>
        <family val="2"/>
        <charset val="129"/>
      </rPr>
      <t xml:space="preserve">=50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2"/>
        <charset val="129"/>
      </rPr>
      <t xml:space="preserve">x1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2"/>
        <charset val="129"/>
      </rPr>
      <t xml:space="preserve">x15</t>
    </r>
    <r>
      <rPr>
        <sz val="11"/>
        <color theme="1"/>
        <rFont val="WenQuanYi Zen Hei"/>
        <family val="2"/>
      </rPr>
      <t xml:space="preserve">천원</t>
    </r>
  </si>
  <si>
    <t xml:space="preserve">국민전문가</t>
  </si>
  <si>
    <r>
      <rPr>
        <sz val="11"/>
        <color theme="1"/>
        <rFont val="맑은 고딕"/>
        <family val="2"/>
        <charset val="129"/>
      </rPr>
      <t xml:space="preserve">9-3-1. </t>
    </r>
    <r>
      <rPr>
        <sz val="11"/>
        <color theme="1"/>
        <rFont val="WenQuanYi Zen Hei"/>
        <family val="2"/>
      </rPr>
      <t xml:space="preserve">승강기안전 국민참여단 운영으로 국민소통 확대</t>
    </r>
  </si>
  <si>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WenQuanYi Zen Hei"/>
        <family val="2"/>
      </rPr>
      <t xml:space="preserve">모집 및 운영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WenQuanYi Zen Hei"/>
        <family val="2"/>
      </rPr>
      <t xml:space="preserve">국민전문가 기념물품 발송</t>
    </r>
  </si>
  <si>
    <r>
      <rPr>
        <sz val="11"/>
        <color theme="1"/>
        <rFont val="맑은 고딕"/>
        <family val="2"/>
        <charset val="129"/>
      </rPr>
      <t xml:space="preserve">=40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2"/>
        <charset val="129"/>
      </rPr>
      <t xml:space="preserve">×1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2"/>
        <charset val="129"/>
      </rPr>
      <t xml:space="preserve">×50</t>
    </r>
    <r>
      <rPr>
        <sz val="11"/>
        <color theme="1"/>
        <rFont val="WenQuanYi Zen Hei"/>
        <family val="2"/>
      </rPr>
      <t xml:space="preserve">천원</t>
    </r>
  </si>
  <si>
    <r>
      <rPr>
        <sz val="11"/>
        <color theme="1"/>
        <rFont val="맑은 고딕"/>
        <family val="2"/>
        <charset val="129"/>
      </rPr>
      <t xml:space="preserve"> (</t>
    </r>
    <r>
      <rPr>
        <sz val="11"/>
        <color theme="1"/>
        <rFont val="WenQuanYi Zen Hei"/>
        <family val="2"/>
      </rPr>
      <t xml:space="preserve">모집 및 운영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WenQuanYi Zen Hei"/>
        <family val="2"/>
      </rPr>
      <t xml:space="preserve">국민전문가 기념물품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WenQuanYi Zen Hei"/>
        <family val="2"/>
      </rPr>
      <t xml:space="preserve">기프티콘 등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WenQuanYi Zen Hei"/>
        <family val="2"/>
      </rPr>
      <t xml:space="preserve">발송</t>
    </r>
  </si>
  <si>
    <r>
      <rPr>
        <sz val="11"/>
        <color theme="1"/>
        <rFont val="맑은 고딕"/>
        <family val="2"/>
        <charset val="129"/>
      </rPr>
      <t xml:space="preserve">=49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2"/>
        <charset val="129"/>
      </rPr>
      <t xml:space="preserve">×1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2"/>
        <charset val="129"/>
      </rPr>
      <t xml:space="preserve">×30</t>
    </r>
    <r>
      <rPr>
        <sz val="11"/>
        <color theme="1"/>
        <rFont val="WenQuanYi Zen Hei"/>
        <family val="2"/>
      </rPr>
      <t xml:space="preserve">천원</t>
    </r>
  </si>
  <si>
    <t xml:space="preserve">국민참여단</t>
  </si>
  <si>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WenQuanYi Zen Hei"/>
        <family val="2"/>
      </rPr>
      <t xml:space="preserve">최종보고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WenQuanYi Zen Hei"/>
        <family val="2"/>
      </rPr>
      <t xml:space="preserve">국민참여단 우수참여자 기념물품 발송</t>
    </r>
  </si>
  <si>
    <r>
      <rPr>
        <sz val="11"/>
        <color theme="1"/>
        <rFont val="맑은 고딕"/>
        <family val="2"/>
        <charset val="129"/>
      </rPr>
      <t xml:space="preserve">=10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2"/>
        <charset val="129"/>
      </rPr>
      <t xml:space="preserve">×1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2"/>
        <charset val="129"/>
      </rPr>
      <t xml:space="preserve">×200</t>
    </r>
    <r>
      <rPr>
        <sz val="11"/>
        <color theme="1"/>
        <rFont val="WenQuanYi Zen Hei"/>
        <family val="2"/>
      </rPr>
      <t xml:space="preserve">천원</t>
    </r>
  </si>
  <si>
    <r>
      <rPr>
        <sz val="11"/>
        <color theme="1"/>
        <rFont val="맑은 고딕"/>
        <family val="2"/>
        <charset val="129"/>
      </rPr>
      <t xml:space="preserve"> (</t>
    </r>
    <r>
      <rPr>
        <sz val="11"/>
        <color theme="1"/>
        <rFont val="WenQuanYi Zen Hei"/>
        <family val="2"/>
      </rPr>
      <t xml:space="preserve">최종보고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WenQuanYi Zen Hei"/>
        <family val="2"/>
      </rPr>
      <t xml:space="preserve">국민참여단 우수참여자 기념물품 발송</t>
    </r>
  </si>
  <si>
    <r>
      <rPr>
        <sz val="11"/>
        <color theme="1"/>
        <rFont val="맑은 고딕"/>
        <family val="2"/>
        <charset val="129"/>
      </rPr>
      <t xml:space="preserve">=10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2"/>
        <charset val="129"/>
      </rPr>
      <t xml:space="preserve">×1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2"/>
        <charset val="129"/>
      </rPr>
      <t xml:space="preserve">×80</t>
    </r>
    <r>
      <rPr>
        <sz val="11"/>
        <color theme="1"/>
        <rFont val="WenQuanYi Zen Hei"/>
        <family val="2"/>
      </rPr>
      <t xml:space="preserve">천원</t>
    </r>
  </si>
  <si>
    <t xml:space="preserve">제도개선협의체</t>
  </si>
  <si>
    <r>
      <rPr>
        <sz val="11"/>
        <color theme="1"/>
        <rFont val="맑은 고딕"/>
        <family val="2"/>
        <charset val="129"/>
      </rPr>
      <t xml:space="preserve">3-1-3. </t>
    </r>
    <r>
      <rPr>
        <sz val="11"/>
        <color theme="1"/>
        <rFont val="WenQuanYi Zen Hei"/>
        <family val="2"/>
      </rPr>
      <t xml:space="preserve">국민이 참여하는 효율적인 승강기 제도 개선</t>
    </r>
  </si>
  <si>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WenQuanYi Zen Hei"/>
        <family val="2"/>
      </rPr>
      <t xml:space="preserve">제도개선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WenQuanYi Zen Hei"/>
        <family val="2"/>
      </rPr>
      <t xml:space="preserve">제도개선 과제 의견수렴을 위한 이해관계자 협의체 운영 회의</t>
    </r>
  </si>
  <si>
    <r>
      <rPr>
        <sz val="11"/>
        <color theme="1"/>
        <rFont val="맑은 고딕"/>
        <family val="2"/>
        <charset val="129"/>
      </rPr>
      <t xml:space="preserve">= (</t>
    </r>
    <r>
      <rPr>
        <sz val="11"/>
        <color theme="1"/>
        <rFont val="WenQuanYi Zen Hei"/>
        <family val="2"/>
      </rPr>
      <t xml:space="preserve">외부</t>
    </r>
    <r>
      <rPr>
        <sz val="11"/>
        <color theme="1"/>
        <rFont val="맑은 고딕"/>
        <family val="2"/>
        <charset val="129"/>
      </rPr>
      <t xml:space="preserve">) 20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2"/>
        <charset val="129"/>
      </rPr>
      <t xml:space="preserve">×4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2"/>
        <charset val="129"/>
      </rPr>
      <t xml:space="preserve">×30</t>
    </r>
    <r>
      <rPr>
        <sz val="11"/>
        <color theme="1"/>
        <rFont val="WenQuanYi Zen Hei"/>
        <family val="2"/>
      </rPr>
      <t xml:space="preserve">천원</t>
    </r>
  </si>
  <si>
    <r>
      <rPr>
        <sz val="11"/>
        <color theme="1"/>
        <rFont val="맑은 고딕"/>
        <family val="2"/>
        <charset val="129"/>
      </rPr>
      <t xml:space="preserve">=15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2"/>
        <charset val="129"/>
      </rPr>
      <t xml:space="preserve">x3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2"/>
        <charset val="129"/>
      </rPr>
      <t xml:space="preserve">x15</t>
    </r>
    <r>
      <rPr>
        <sz val="11"/>
        <color theme="1"/>
        <rFont val="WenQuanYi Zen Hei"/>
        <family val="2"/>
      </rPr>
      <t xml:space="preserve">천원</t>
    </r>
  </si>
  <si>
    <t xml:space="preserve">해외전문가</t>
  </si>
  <si>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WenQuanYi Zen Hei"/>
        <family val="2"/>
      </rPr>
      <t xml:space="preserve">국제표준화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WenQuanYi Zen Hei"/>
        <family val="2"/>
      </rPr>
      <t xml:space="preserve">해외전문가 통역 및 수행</t>
    </r>
  </si>
  <si>
    <r>
      <rPr>
        <sz val="11"/>
        <color theme="1"/>
        <rFont val="맑은 고딕"/>
        <family val="2"/>
        <charset val="129"/>
      </rPr>
      <t xml:space="preserve">= 1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2"/>
        <charset val="129"/>
      </rPr>
      <t xml:space="preserve">×1,000</t>
    </r>
    <r>
      <rPr>
        <sz val="11"/>
        <color theme="1"/>
        <rFont val="WenQuanYi Zen Hei"/>
        <family val="2"/>
      </rPr>
      <t xml:space="preserve">천원</t>
    </r>
  </si>
  <si>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WenQuanYi Zen Hei"/>
        <family val="2"/>
      </rPr>
      <t xml:space="preserve">국제표준화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WenQuanYi Zen Hei"/>
        <family val="2"/>
      </rPr>
      <t xml:space="preserve">해외전문가 초청 강의수당</t>
    </r>
  </si>
  <si>
    <r>
      <rPr>
        <sz val="11"/>
        <color theme="1"/>
        <rFont val="맑은 고딕"/>
        <family val="2"/>
        <charset val="129"/>
      </rPr>
      <t xml:space="preserve">= 1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2"/>
        <charset val="129"/>
      </rPr>
      <t xml:space="preserve">×1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2"/>
        <charset val="129"/>
      </rPr>
      <t xml:space="preserve">×3,000</t>
    </r>
    <r>
      <rPr>
        <sz val="11"/>
        <color theme="1"/>
        <rFont val="WenQuanYi Zen Hei"/>
        <family val="2"/>
      </rPr>
      <t xml:space="preserve">천원</t>
    </r>
  </si>
  <si>
    <r>
      <rPr>
        <sz val="11"/>
        <color theme="1"/>
        <rFont val="맑은 고딕"/>
        <family val="2"/>
        <charset val="129"/>
      </rPr>
      <t xml:space="preserve">= 1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2"/>
        <charset val="129"/>
      </rPr>
      <t xml:space="preserve">×1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2"/>
        <charset val="129"/>
      </rPr>
      <t xml:space="preserve">×1,000</t>
    </r>
    <r>
      <rPr>
        <sz val="11"/>
        <color theme="1"/>
        <rFont val="WenQuanYi Zen Hei"/>
        <family val="2"/>
      </rPr>
      <t xml:space="preserve">천원</t>
    </r>
  </si>
  <si>
    <t xml:space="preserve">지정검사기관 회의비 확대</t>
  </si>
  <si>
    <t xml:space="preserve">기술협의체</t>
  </si>
  <si>
    <t xml:space="preserve">각종 기술관련 협의체에 지사 검사품질관리자 참여 확대 회의비, 일반여비</t>
  </si>
  <si>
    <r>
      <rPr>
        <sz val="11"/>
        <color theme="1"/>
        <rFont val="맑은 고딕"/>
        <family val="2"/>
        <charset val="129"/>
      </rPr>
      <t xml:space="preserve">5-1-1. </t>
    </r>
    <r>
      <rPr>
        <sz val="11"/>
        <color theme="1"/>
        <rFont val="WenQuanYi Zen Hei"/>
        <family val="2"/>
      </rPr>
      <t xml:space="preserve">인증총괄실</t>
    </r>
  </si>
  <si>
    <t xml:space="preserve">구 운영팀 조직개편 부활 시 관련 예산 확인</t>
  </si>
  <si>
    <t xml:space="preserve">국외연수</t>
  </si>
  <si>
    <r>
      <rPr>
        <sz val="11"/>
        <color theme="1"/>
        <rFont val="맑은 고딕"/>
        <family val="2"/>
        <charset val="129"/>
      </rPr>
      <t xml:space="preserve">10-</t>
    </r>
    <r>
      <rPr>
        <sz val="11"/>
        <color theme="1"/>
        <rFont val="WenQuanYi Zen Hei"/>
        <family val="2"/>
      </rPr>
      <t xml:space="preserve">가</t>
    </r>
    <r>
      <rPr>
        <sz val="11"/>
        <color theme="1"/>
        <rFont val="맑은 고딕"/>
        <family val="2"/>
        <charset val="129"/>
      </rPr>
      <t xml:space="preserve">-1) </t>
    </r>
    <r>
      <rPr>
        <sz val="11"/>
        <color theme="1"/>
        <rFont val="WenQuanYi Zen Hei"/>
        <family val="2"/>
      </rPr>
      <t xml:space="preserve">해외연수 확대 및 선발인원 공단입사자 </t>
    </r>
    <r>
      <rPr>
        <sz val="11"/>
        <color theme="1"/>
        <rFont val="맑은 고딕"/>
        <family val="2"/>
        <charset val="129"/>
      </rPr>
      <t xml:space="preserve">50% </t>
    </r>
    <r>
      <rPr>
        <sz val="11"/>
        <color theme="1"/>
        <rFont val="WenQuanYi Zen Hei"/>
        <family val="2"/>
      </rPr>
      <t xml:space="preserve">보장</t>
    </r>
  </si>
  <si>
    <r>
      <rPr>
        <sz val="11"/>
        <color theme="1"/>
        <rFont val="맑은 고딕"/>
        <family val="2"/>
        <charset val="129"/>
      </rPr>
      <t xml:space="preserve">2-2-1. </t>
    </r>
    <r>
      <rPr>
        <sz val="11"/>
        <color theme="1"/>
        <rFont val="WenQuanYi Zen Hei"/>
        <family val="2"/>
      </rPr>
      <t xml:space="preserve">인재경영실</t>
    </r>
  </si>
  <si>
    <r>
      <rPr>
        <sz val="11"/>
        <color theme="1"/>
        <rFont val="맑은 고딕"/>
        <family val="2"/>
        <charset val="129"/>
      </rPr>
      <t xml:space="preserve">12-3-2. </t>
    </r>
    <r>
      <rPr>
        <sz val="11"/>
        <color theme="1"/>
        <rFont val="WenQuanYi Zen Hei"/>
        <family val="2"/>
      </rPr>
      <t xml:space="preserve">자기주도 학습 정착을 통한 구성원 능동적 학습문화 조성</t>
    </r>
  </si>
  <si>
    <t xml:space="preserve">교육훈련운영비</t>
  </si>
  <si>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WenQuanYi Zen Hei"/>
        <family val="2"/>
      </rPr>
      <t xml:space="preserve">중장기 인재육성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WenQuanYi Zen Hei"/>
        <family val="2"/>
      </rPr>
      <t xml:space="preserve">직무역량 강화 교육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WenQuanYi Zen Hei"/>
        <family val="2"/>
      </rPr>
      <t xml:space="preserve">국외현장 견학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</si>
  <si>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맑은 고딕"/>
        <family val="2"/>
        <charset val="129"/>
      </rPr>
      <t xml:space="preserve">= 70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2"/>
        <charset val="129"/>
      </rPr>
      <t xml:space="preserve">×1,400</t>
    </r>
    <r>
      <rPr>
        <sz val="11"/>
        <color theme="1"/>
        <rFont val="WenQuanYi Zen Hei"/>
        <family val="2"/>
      </rPr>
      <t xml:space="preserve">천원</t>
    </r>
    <r>
      <rPr>
        <sz val="11"/>
        <color theme="1"/>
        <rFont val="맑은 고딕"/>
        <family val="2"/>
        <charset val="129"/>
      </rPr>
      <t xml:space="preserve">×1</t>
    </r>
    <r>
      <rPr>
        <sz val="11"/>
        <color theme="1"/>
        <rFont val="WenQuanYi Zen Hei"/>
        <family val="2"/>
      </rPr>
      <t xml:space="preserve">회</t>
    </r>
  </si>
  <si>
    <r>
      <rPr>
        <sz val="11"/>
        <color theme="1"/>
        <rFont val="맑은 고딕"/>
        <family val="2"/>
        <charset val="129"/>
      </rPr>
      <t xml:space="preserve">= 90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2"/>
        <charset val="129"/>
      </rPr>
      <t xml:space="preserve">×1,700</t>
    </r>
    <r>
      <rPr>
        <sz val="11"/>
        <color theme="1"/>
        <rFont val="WenQuanYi Zen Hei"/>
        <family val="2"/>
      </rPr>
      <t xml:space="preserve">천원</t>
    </r>
    <r>
      <rPr>
        <sz val="11"/>
        <color theme="1"/>
        <rFont val="맑은 고딕"/>
        <family val="2"/>
        <charset val="129"/>
      </rPr>
      <t xml:space="preserve">×1</t>
    </r>
    <r>
      <rPr>
        <sz val="11"/>
        <color theme="1"/>
        <rFont val="WenQuanYi Zen Hei"/>
        <family val="2"/>
      </rPr>
      <t xml:space="preserve">회</t>
    </r>
  </si>
  <si>
    <t xml:space="preserve">인원수 증가, 항공권 비용 상승</t>
  </si>
  <si>
    <t xml:space="preserve">학위과정</t>
  </si>
  <si>
    <r>
      <rPr>
        <sz val="11"/>
        <color theme="1"/>
        <rFont val="맑은 고딕"/>
        <family val="2"/>
        <charset val="129"/>
      </rPr>
      <t xml:space="preserve">10-</t>
    </r>
    <r>
      <rPr>
        <sz val="11"/>
        <color theme="1"/>
        <rFont val="WenQuanYi Zen Hei"/>
        <family val="2"/>
      </rPr>
      <t xml:space="preserve">가</t>
    </r>
    <r>
      <rPr>
        <sz val="11"/>
        <color theme="1"/>
        <rFont val="맑은 고딕"/>
        <family val="2"/>
        <charset val="129"/>
      </rPr>
      <t xml:space="preserve">. </t>
    </r>
    <r>
      <rPr>
        <sz val="11"/>
        <color theme="1"/>
        <rFont val="WenQuanYi Zen Hei"/>
        <family val="2"/>
      </rPr>
      <t xml:space="preserve">교육</t>
    </r>
    <r>
      <rPr>
        <sz val="11"/>
        <color theme="1"/>
        <rFont val="맑은 고딕"/>
        <family val="2"/>
        <charset val="129"/>
      </rPr>
      <t xml:space="preserve">·</t>
    </r>
    <r>
      <rPr>
        <sz val="11"/>
        <color theme="1"/>
        <rFont val="WenQuanYi Zen Hei"/>
        <family val="2"/>
      </rPr>
      <t xml:space="preserve">성장 기회 확대</t>
    </r>
  </si>
  <si>
    <r>
      <rPr>
        <sz val="11"/>
        <color theme="1"/>
        <rFont val="맑은 고딕"/>
        <family val="2"/>
        <charset val="129"/>
      </rPr>
      <t xml:space="preserve">(KoELSA </t>
    </r>
    <r>
      <rPr>
        <sz val="11"/>
        <color theme="1"/>
        <rFont val="WenQuanYi Zen Hei"/>
        <family val="2"/>
      </rPr>
      <t xml:space="preserve">숙련기술인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WenQuanYi Zen Hei"/>
        <family val="2"/>
      </rPr>
      <t xml:space="preserve">직무관련 학위취득과정 운영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WenQuanYi Zen Hei"/>
        <family val="2"/>
      </rPr>
      <t xml:space="preserve">기존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WenQuanYi Zen Hei"/>
        <family val="2"/>
      </rPr>
      <t xml:space="preserve">석사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</si>
  <si>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맑은 고딕"/>
        <family val="2"/>
        <charset val="129"/>
      </rPr>
      <t xml:space="preserve">= 3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2"/>
        <charset val="129"/>
      </rPr>
      <t xml:space="preserve">×1,500</t>
    </r>
    <r>
      <rPr>
        <sz val="11"/>
        <color theme="1"/>
        <rFont val="WenQuanYi Zen Hei"/>
        <family val="2"/>
      </rPr>
      <t xml:space="preserve">천원</t>
    </r>
    <r>
      <rPr>
        <sz val="11"/>
        <color theme="1"/>
        <rFont val="맑은 고딕"/>
        <family val="2"/>
        <charset val="129"/>
      </rPr>
      <t xml:space="preserve">×2</t>
    </r>
    <r>
      <rPr>
        <sz val="11"/>
        <color theme="1"/>
        <rFont val="WenQuanYi Zen Hei"/>
        <family val="2"/>
      </rPr>
      <t xml:space="preserve">회</t>
    </r>
  </si>
  <si>
    <r>
      <rPr>
        <sz val="11"/>
        <color theme="1"/>
        <rFont val="맑은 고딕"/>
        <family val="2"/>
        <charset val="129"/>
      </rPr>
      <t xml:space="preserve">= 15.5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2"/>
        <charset val="129"/>
      </rPr>
      <t xml:space="preserve">×1,500</t>
    </r>
    <r>
      <rPr>
        <sz val="11"/>
        <color theme="1"/>
        <rFont val="WenQuanYi Zen Hei"/>
        <family val="2"/>
      </rPr>
      <t xml:space="preserve">천원</t>
    </r>
    <r>
      <rPr>
        <sz val="11"/>
        <color theme="1"/>
        <rFont val="맑은 고딕"/>
        <family val="2"/>
        <charset val="129"/>
      </rPr>
      <t xml:space="preserve">×2</t>
    </r>
    <r>
      <rPr>
        <sz val="11"/>
        <color theme="1"/>
        <rFont val="WenQuanYi Zen Hei"/>
        <family val="2"/>
      </rPr>
      <t xml:space="preserve">회</t>
    </r>
  </si>
  <si>
    <t xml:space="preserve">학위취득 대상자 증가</t>
  </si>
  <si>
    <r>
      <rPr>
        <sz val="11"/>
        <color theme="1"/>
        <rFont val="맑은 고딕"/>
        <family val="2"/>
        <charset val="129"/>
      </rPr>
      <t xml:space="preserve">(KoELSA </t>
    </r>
    <r>
      <rPr>
        <sz val="11"/>
        <color theme="1"/>
        <rFont val="WenQuanYi Zen Hei"/>
        <family val="2"/>
      </rPr>
      <t xml:space="preserve">숙련기술인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WenQuanYi Zen Hei"/>
        <family val="2"/>
      </rPr>
      <t xml:space="preserve">직무관련 학위취득과정 운영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WenQuanYi Zen Hei"/>
        <family val="2"/>
      </rPr>
      <t xml:space="preserve">신규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WenQuanYi Zen Hei"/>
        <family val="2"/>
      </rPr>
      <t xml:space="preserve">석박사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</si>
  <si>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맑은 고딕"/>
        <family val="2"/>
        <charset val="129"/>
      </rPr>
      <t xml:space="preserve">= 3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2"/>
        <charset val="129"/>
      </rPr>
      <t xml:space="preserve">×2,000</t>
    </r>
    <r>
      <rPr>
        <sz val="11"/>
        <color theme="1"/>
        <rFont val="WenQuanYi Zen Hei"/>
        <family val="2"/>
      </rPr>
      <t xml:space="preserve">천원</t>
    </r>
    <r>
      <rPr>
        <sz val="11"/>
        <color theme="1"/>
        <rFont val="맑은 고딕"/>
        <family val="2"/>
        <charset val="129"/>
      </rPr>
      <t xml:space="preserve">×2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2"/>
        <charset val="129"/>
      </rPr>
      <t xml:space="preserve">+2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2"/>
        <charset val="129"/>
      </rPr>
      <t xml:space="preserve">×3,000</t>
    </r>
    <r>
      <rPr>
        <sz val="11"/>
        <color theme="1"/>
        <rFont val="WenQuanYi Zen Hei"/>
        <family val="2"/>
      </rPr>
      <t xml:space="preserve">천원</t>
    </r>
    <r>
      <rPr>
        <sz val="11"/>
        <color theme="1"/>
        <rFont val="맑은 고딕"/>
        <family val="2"/>
        <charset val="129"/>
      </rPr>
      <t xml:space="preserve">×2</t>
    </r>
    <r>
      <rPr>
        <sz val="11"/>
        <color theme="1"/>
        <rFont val="WenQuanYi Zen Hei"/>
        <family val="2"/>
      </rPr>
      <t xml:space="preserve">회</t>
    </r>
  </si>
  <si>
    <r>
      <rPr>
        <sz val="11"/>
        <color theme="1"/>
        <rFont val="맑은 고딕"/>
        <family val="2"/>
        <charset val="129"/>
      </rPr>
      <t xml:space="preserve">= 15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2"/>
        <charset val="129"/>
      </rPr>
      <t xml:space="preserve">×1,500</t>
    </r>
    <r>
      <rPr>
        <sz val="11"/>
        <color theme="1"/>
        <rFont val="WenQuanYi Zen Hei"/>
        <family val="2"/>
      </rPr>
      <t xml:space="preserve">천원</t>
    </r>
    <r>
      <rPr>
        <sz val="11"/>
        <color theme="1"/>
        <rFont val="맑은 고딕"/>
        <family val="2"/>
        <charset val="129"/>
      </rPr>
      <t xml:space="preserve">×2</t>
    </r>
    <r>
      <rPr>
        <sz val="11"/>
        <color theme="1"/>
        <rFont val="WenQuanYi Zen Hei"/>
        <family val="2"/>
      </rPr>
      <t xml:space="preserve">회</t>
    </r>
  </si>
  <si>
    <t xml:space="preserve">신규 학위취득 대상자 증가 운영</t>
  </si>
  <si>
    <t xml:space="preserve">신입사원교육</t>
  </si>
  <si>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WenQuanYi Zen Hei"/>
        <family val="2"/>
      </rPr>
      <t xml:space="preserve">중장기 인재육성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WenQuanYi Zen Hei"/>
        <family val="2"/>
      </rPr>
      <t xml:space="preserve">신입사원 실무역량 강화 교육</t>
    </r>
  </si>
  <si>
    <r>
      <rPr>
        <sz val="11"/>
        <color theme="1"/>
        <rFont val="맑은 고딕"/>
        <family val="2"/>
        <charset val="129"/>
      </rPr>
      <t xml:space="preserve">= 70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2"/>
        <charset val="129"/>
      </rPr>
      <t xml:space="preserve">×70</t>
    </r>
    <r>
      <rPr>
        <sz val="11"/>
        <color theme="1"/>
        <rFont val="WenQuanYi Zen Hei"/>
        <family val="2"/>
      </rPr>
      <t xml:space="preserve">천원</t>
    </r>
    <r>
      <rPr>
        <sz val="11"/>
        <color theme="1"/>
        <rFont val="맑은 고딕"/>
        <family val="2"/>
        <charset val="129"/>
      </rPr>
      <t xml:space="preserve">×13</t>
    </r>
    <r>
      <rPr>
        <sz val="11"/>
        <color theme="1"/>
        <rFont val="WenQuanYi Zen Hei"/>
        <family val="2"/>
      </rPr>
      <t xml:space="preserve">일</t>
    </r>
    <r>
      <rPr>
        <sz val="11"/>
        <color theme="1"/>
        <rFont val="맑은 고딕"/>
        <family val="2"/>
        <charset val="129"/>
      </rPr>
      <t xml:space="preserve">+70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2"/>
        <charset val="129"/>
      </rPr>
      <t xml:space="preserve">×40</t>
    </r>
    <r>
      <rPr>
        <sz val="11"/>
        <color theme="1"/>
        <rFont val="WenQuanYi Zen Hei"/>
        <family val="2"/>
      </rPr>
      <t xml:space="preserve">천원</t>
    </r>
    <r>
      <rPr>
        <sz val="11"/>
        <color theme="1"/>
        <rFont val="맑은 고딕"/>
        <family val="2"/>
        <charset val="129"/>
      </rPr>
      <t xml:space="preserve">×2</t>
    </r>
    <r>
      <rPr>
        <sz val="11"/>
        <color theme="1"/>
        <rFont val="WenQuanYi Zen Hei"/>
        <family val="2"/>
      </rPr>
      <t xml:space="preserve">일</t>
    </r>
  </si>
  <si>
    <r>
      <rPr>
        <sz val="11"/>
        <color theme="1"/>
        <rFont val="맑은 고딕"/>
        <family val="2"/>
        <charset val="129"/>
      </rPr>
      <t xml:space="preserve">= 80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2"/>
        <charset val="129"/>
      </rPr>
      <t xml:space="preserve">×70</t>
    </r>
    <r>
      <rPr>
        <sz val="11"/>
        <color theme="1"/>
        <rFont val="WenQuanYi Zen Hei"/>
        <family val="2"/>
      </rPr>
      <t xml:space="preserve">천원</t>
    </r>
    <r>
      <rPr>
        <sz val="11"/>
        <color theme="1"/>
        <rFont val="맑은 고딕"/>
        <family val="2"/>
        <charset val="129"/>
      </rPr>
      <t xml:space="preserve">×15</t>
    </r>
    <r>
      <rPr>
        <sz val="11"/>
        <color theme="1"/>
        <rFont val="WenQuanYi Zen Hei"/>
        <family val="2"/>
      </rPr>
      <t xml:space="preserve">일</t>
    </r>
  </si>
  <si>
    <t xml:space="preserve">인원 증가</t>
  </si>
  <si>
    <t xml:space="preserve">외부위탁교육</t>
  </si>
  <si>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WenQuanYi Zen Hei"/>
        <family val="2"/>
      </rPr>
      <t xml:space="preserve">중장기 인재육성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WenQuanYi Zen Hei"/>
        <family val="2"/>
      </rPr>
      <t xml:space="preserve">직무별 외부위탁교육</t>
    </r>
  </si>
  <si>
    <r>
      <rPr>
        <sz val="11"/>
        <color theme="1"/>
        <rFont val="맑은 고딕"/>
        <family val="2"/>
        <charset val="129"/>
      </rPr>
      <t xml:space="preserve">= 50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2"/>
        <charset val="129"/>
      </rPr>
      <t xml:space="preserve">×500</t>
    </r>
    <r>
      <rPr>
        <sz val="11"/>
        <color theme="1"/>
        <rFont val="WenQuanYi Zen Hei"/>
        <family val="2"/>
      </rPr>
      <t xml:space="preserve">천원</t>
    </r>
    <r>
      <rPr>
        <sz val="11"/>
        <color theme="1"/>
        <rFont val="맑은 고딕"/>
        <family val="2"/>
        <charset val="129"/>
      </rPr>
      <t xml:space="preserve">×1</t>
    </r>
    <r>
      <rPr>
        <sz val="11"/>
        <color theme="1"/>
        <rFont val="WenQuanYi Zen Hei"/>
        <family val="2"/>
      </rPr>
      <t xml:space="preserve">회</t>
    </r>
  </si>
  <si>
    <r>
      <rPr>
        <sz val="11"/>
        <color theme="1"/>
        <rFont val="맑은 고딕"/>
        <family val="2"/>
        <charset val="129"/>
      </rPr>
      <t xml:space="preserve">= 70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2"/>
        <charset val="129"/>
      </rPr>
      <t xml:space="preserve">×550</t>
    </r>
    <r>
      <rPr>
        <sz val="11"/>
        <color theme="1"/>
        <rFont val="WenQuanYi Zen Hei"/>
        <family val="2"/>
      </rPr>
      <t xml:space="preserve">천원</t>
    </r>
    <r>
      <rPr>
        <sz val="11"/>
        <color theme="1"/>
        <rFont val="맑은 고딕"/>
        <family val="2"/>
        <charset val="129"/>
      </rPr>
      <t xml:space="preserve">×1</t>
    </r>
    <r>
      <rPr>
        <sz val="11"/>
        <color theme="1"/>
        <rFont val="WenQuanYi Zen Hei"/>
        <family val="2"/>
      </rPr>
      <t xml:space="preserve">회</t>
    </r>
  </si>
  <si>
    <t xml:space="preserve">외부위탁교육 대상인원 증가</t>
  </si>
  <si>
    <t xml:space="preserve">장기근속자교육</t>
  </si>
  <si>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WenQuanYi Zen Hei"/>
        <family val="2"/>
      </rPr>
      <t xml:space="preserve">중장기 인재육성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WenQuanYi Zen Hei"/>
        <family val="2"/>
      </rPr>
      <t xml:space="preserve">장기근속자 대상 교육</t>
    </r>
  </si>
  <si>
    <r>
      <rPr>
        <sz val="11"/>
        <color theme="1"/>
        <rFont val="맑은 고딕"/>
        <family val="2"/>
        <charset val="129"/>
      </rPr>
      <t xml:space="preserve">= 50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2"/>
        <charset val="129"/>
      </rPr>
      <t xml:space="preserve">×800</t>
    </r>
    <r>
      <rPr>
        <sz val="11"/>
        <color theme="1"/>
        <rFont val="WenQuanYi Zen Hei"/>
        <family val="2"/>
      </rPr>
      <t xml:space="preserve">천원</t>
    </r>
  </si>
  <si>
    <r>
      <rPr>
        <sz val="11"/>
        <color theme="1"/>
        <rFont val="맑은 고딕"/>
        <family val="2"/>
        <charset val="129"/>
      </rPr>
      <t xml:space="preserve">= 50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2"/>
        <charset val="129"/>
      </rPr>
      <t xml:space="preserve">×1,000</t>
    </r>
    <r>
      <rPr>
        <sz val="11"/>
        <color theme="1"/>
        <rFont val="WenQuanYi Zen Hei"/>
        <family val="2"/>
      </rPr>
      <t xml:space="preserve">천원</t>
    </r>
  </si>
  <si>
    <t xml:space="preserve">항공권 물가 상승</t>
  </si>
  <si>
    <r>
      <rPr>
        <sz val="11"/>
        <color theme="1"/>
        <rFont val="맑은 고딕"/>
        <family val="2"/>
        <charset val="129"/>
      </rPr>
      <t xml:space="preserve">AI</t>
    </r>
    <r>
      <rPr>
        <sz val="11"/>
        <color theme="1"/>
        <rFont val="WenQuanYi Zen Hei"/>
        <family val="2"/>
      </rPr>
      <t xml:space="preserve">자격증</t>
    </r>
  </si>
  <si>
    <t xml:space="preserve">-</t>
  </si>
  <si>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WenQuanYi Zen Hei"/>
        <family val="2"/>
      </rPr>
      <t xml:space="preserve">중장기 인재육성</t>
    </r>
    <r>
      <rPr>
        <sz val="11"/>
        <color theme="1"/>
        <rFont val="맑은 고딕"/>
        <family val="2"/>
        <charset val="129"/>
      </rPr>
      <t xml:space="preserve">) AICE Associate </t>
    </r>
    <r>
      <rPr>
        <sz val="11"/>
        <color theme="1"/>
        <rFont val="WenQuanYi Zen Hei"/>
        <family val="2"/>
      </rPr>
      <t xml:space="preserve">자격증 취득과정반 시험 응시료</t>
    </r>
  </si>
  <si>
    <r>
      <rPr>
        <sz val="11"/>
        <color theme="1"/>
        <rFont val="맑은 고딕"/>
        <family val="2"/>
        <charset val="129"/>
      </rPr>
      <t xml:space="preserve">= 60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2"/>
        <charset val="129"/>
      </rPr>
      <t xml:space="preserve">×80</t>
    </r>
    <r>
      <rPr>
        <sz val="11"/>
        <color theme="1"/>
        <rFont val="WenQuanYi Zen Hei"/>
        <family val="2"/>
      </rPr>
      <t xml:space="preserve">천원</t>
    </r>
  </si>
  <si>
    <t xml:space="preserve">유일한 AI 공인 자격증의 취득을 공단 차원에서 지원(2025년 최초 지원 예산과 동일하게 책정)</t>
  </si>
  <si>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WenQuanYi Zen Hei"/>
        <family val="2"/>
      </rPr>
      <t xml:space="preserve">중장기 인재육성</t>
    </r>
    <r>
      <rPr>
        <sz val="11"/>
        <color theme="1"/>
        <rFont val="맑은 고딕"/>
        <family val="2"/>
        <charset val="129"/>
      </rPr>
      <t xml:space="preserve">) AICE Associate </t>
    </r>
    <r>
      <rPr>
        <sz val="11"/>
        <color theme="1"/>
        <rFont val="WenQuanYi Zen Hei"/>
        <family val="2"/>
      </rPr>
      <t xml:space="preserve">자격증 취득과정반 교육</t>
    </r>
  </si>
  <si>
    <r>
      <rPr>
        <sz val="11"/>
        <color theme="1"/>
        <rFont val="맑은 고딕"/>
        <family val="2"/>
        <charset val="129"/>
      </rPr>
      <t xml:space="preserve">= 15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2"/>
        <charset val="129"/>
      </rPr>
      <t xml:space="preserve">×150</t>
    </r>
    <r>
      <rPr>
        <sz val="11"/>
        <color theme="1"/>
        <rFont val="WenQuanYi Zen Hei"/>
        <family val="2"/>
      </rPr>
      <t xml:space="preserve">천원</t>
    </r>
  </si>
  <si>
    <r>
      <rPr>
        <sz val="11"/>
        <color theme="1"/>
        <rFont val="맑은 고딕"/>
        <family val="2"/>
        <charset val="129"/>
      </rPr>
      <t xml:space="preserve">8</t>
    </r>
    <r>
      <rPr>
        <sz val="11"/>
        <color theme="1"/>
        <rFont val="WenQuanYi Zen Hei"/>
        <family val="2"/>
      </rPr>
      <t xml:space="preserve">월</t>
    </r>
  </si>
  <si>
    <t xml:space="preserve">직무교육</t>
  </si>
  <si>
    <t xml:space="preserve">교육훈련강사료</t>
  </si>
  <si>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WenQuanYi Zen Hei"/>
        <family val="2"/>
      </rPr>
      <t xml:space="preserve">중장기 인재육성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WenQuanYi Zen Hei"/>
        <family val="2"/>
      </rPr>
      <t xml:space="preserve">부가가치세신고 및 납부실무 교육 강사료</t>
    </r>
  </si>
  <si>
    <r>
      <rPr>
        <sz val="11"/>
        <color theme="1"/>
        <rFont val="맑은 고딕"/>
        <family val="2"/>
        <charset val="129"/>
      </rPr>
      <t xml:space="preserve">= 2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2"/>
        <charset val="129"/>
      </rPr>
      <t xml:space="preserve">×1,600</t>
    </r>
    <r>
      <rPr>
        <sz val="11"/>
        <color theme="1"/>
        <rFont val="WenQuanYi Zen Hei"/>
        <family val="2"/>
      </rPr>
      <t xml:space="preserve">천원</t>
    </r>
  </si>
  <si>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WenQuanYi Zen Hei"/>
        <family val="2"/>
      </rPr>
      <t xml:space="preserve">중장기 인재육성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WenQuanYi Zen Hei"/>
        <family val="2"/>
      </rPr>
      <t xml:space="preserve">승강기검사 접수업무 역량강화 교육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WenQuanYi Zen Hei"/>
        <family val="2"/>
      </rPr>
      <t xml:space="preserve">교육명 수정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</si>
  <si>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맑은 고딕"/>
        <family val="2"/>
        <charset val="129"/>
      </rPr>
      <t xml:space="preserve">= 3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2"/>
        <charset val="129"/>
      </rPr>
      <t xml:space="preserve">×800</t>
    </r>
    <r>
      <rPr>
        <sz val="11"/>
        <color theme="1"/>
        <rFont val="WenQuanYi Zen Hei"/>
        <family val="2"/>
      </rPr>
      <t xml:space="preserve">천원</t>
    </r>
    <r>
      <rPr>
        <sz val="11"/>
        <color theme="1"/>
        <rFont val="맑은 고딕"/>
        <family val="2"/>
        <charset val="129"/>
      </rPr>
      <t xml:space="preserve">×2</t>
    </r>
    <r>
      <rPr>
        <sz val="11"/>
        <color theme="1"/>
        <rFont val="WenQuanYi Zen Hei"/>
        <family val="2"/>
      </rPr>
      <t xml:space="preserve">회</t>
    </r>
  </si>
  <si>
    <t xml:space="preserve">승강기검사 접수 관련 직무 역량 교육 운영 필요</t>
  </si>
  <si>
    <t xml:space="preserve">퇴직자행사</t>
  </si>
  <si>
    <r>
      <rPr>
        <sz val="11"/>
        <color theme="1"/>
        <rFont val="맑은 고딕"/>
        <family val="2"/>
        <charset val="129"/>
      </rPr>
      <t xml:space="preserve">1-</t>
    </r>
    <r>
      <rPr>
        <sz val="11"/>
        <color theme="1"/>
        <rFont val="WenQuanYi Zen Hei"/>
        <family val="2"/>
      </rPr>
      <t xml:space="preserve">나</t>
    </r>
    <r>
      <rPr>
        <sz val="11"/>
        <color theme="1"/>
        <rFont val="맑은 고딕"/>
        <family val="2"/>
        <charset val="129"/>
      </rPr>
      <t xml:space="preserve">-2) </t>
    </r>
    <r>
      <rPr>
        <sz val="11"/>
        <color theme="1"/>
        <rFont val="WenQuanYi Zen Hei"/>
        <family val="2"/>
      </rPr>
      <t xml:space="preserve">대우제도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WenQuanYi Zen Hei"/>
        <family val="2"/>
      </rPr>
      <t xml:space="preserve">근속승진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WenQuanYi Zen Hei"/>
        <family val="2"/>
      </rPr>
      <t xml:space="preserve">명예퇴직 등으로 진급사각지대 해소</t>
    </r>
  </si>
  <si>
    <r>
      <rPr>
        <sz val="11"/>
        <color theme="1"/>
        <rFont val="맑은 고딕"/>
        <family val="2"/>
        <charset val="129"/>
      </rPr>
      <t xml:space="preserve">12-2-3. </t>
    </r>
    <r>
      <rPr>
        <sz val="11"/>
        <color theme="1"/>
        <rFont val="WenQuanYi Zen Hei"/>
        <family val="2"/>
      </rPr>
      <t xml:space="preserve">평등실현을 위한 공정하고 투명한 인사제도 운영</t>
    </r>
  </si>
  <si>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WenQuanYi Zen Hei"/>
        <family val="2"/>
      </rPr>
      <t xml:space="preserve">인사제도 개선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WenQuanYi Zen Hei"/>
        <family val="2"/>
      </rPr>
      <t xml:space="preserve">정년 및 명예퇴직자 행사 등 지원비</t>
    </r>
  </si>
  <si>
    <r>
      <rPr>
        <sz val="11"/>
        <color theme="1"/>
        <rFont val="맑은 고딕"/>
        <family val="2"/>
        <charset val="129"/>
      </rPr>
      <t xml:space="preserve">= (</t>
    </r>
    <r>
      <rPr>
        <sz val="11"/>
        <color theme="1"/>
        <rFont val="WenQuanYi Zen Hei"/>
        <family val="2"/>
      </rPr>
      <t xml:space="preserve">내부</t>
    </r>
    <r>
      <rPr>
        <sz val="11"/>
        <color theme="1"/>
        <rFont val="맑은 고딕"/>
        <family val="2"/>
        <charset val="129"/>
      </rPr>
      <t xml:space="preserve">) (</t>
    </r>
    <r>
      <rPr>
        <sz val="11"/>
        <color theme="1"/>
        <rFont val="WenQuanYi Zen Hei"/>
        <family val="2"/>
      </rPr>
      <t xml:space="preserve">명예퇴직 예상 대상자 </t>
    </r>
    <r>
      <rPr>
        <sz val="11"/>
        <color theme="1"/>
        <rFont val="맑은 고딕"/>
        <family val="2"/>
        <charset val="129"/>
      </rPr>
      <t xml:space="preserve">7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2"/>
        <charset val="129"/>
      </rPr>
      <t xml:space="preserve">+ '26</t>
    </r>
    <r>
      <rPr>
        <sz val="11"/>
        <color theme="1"/>
        <rFont val="WenQuanYi Zen Hei"/>
        <family val="2"/>
      </rPr>
      <t xml:space="preserve">년 정년퇴직예정자 </t>
    </r>
    <r>
      <rPr>
        <sz val="11"/>
        <color theme="1"/>
        <rFont val="맑은 고딕"/>
        <family val="2"/>
        <charset val="129"/>
      </rPr>
      <t xml:space="preserve">2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2"/>
        <charset val="129"/>
      </rPr>
      <t xml:space="preserve">)×1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2"/>
        <charset val="129"/>
      </rPr>
      <t xml:space="preserve">×200</t>
    </r>
    <r>
      <rPr>
        <sz val="11"/>
        <color theme="1"/>
        <rFont val="WenQuanYi Zen Hei"/>
        <family val="2"/>
      </rPr>
      <t xml:space="preserve">천원</t>
    </r>
  </si>
  <si>
    <t xml:space="preserve">기타운영비</t>
  </si>
  <si>
    <r>
      <rPr>
        <sz val="11"/>
        <color theme="1"/>
        <rFont val="맑은 고딕"/>
        <family val="2"/>
        <charset val="129"/>
      </rPr>
      <t xml:space="preserve">= (</t>
    </r>
    <r>
      <rPr>
        <sz val="11"/>
        <color theme="1"/>
        <rFont val="WenQuanYi Zen Hei"/>
        <family val="2"/>
      </rPr>
      <t xml:space="preserve">내부</t>
    </r>
    <r>
      <rPr>
        <sz val="11"/>
        <color theme="1"/>
        <rFont val="맑은 고딕"/>
        <family val="2"/>
        <charset val="129"/>
      </rPr>
      <t xml:space="preserve">) (</t>
    </r>
    <r>
      <rPr>
        <sz val="11"/>
        <color theme="1"/>
        <rFont val="WenQuanYi Zen Hei"/>
        <family val="2"/>
      </rPr>
      <t xml:space="preserve">명예퇴직 예상 대상자 </t>
    </r>
    <r>
      <rPr>
        <sz val="11"/>
        <color theme="1"/>
        <rFont val="맑은 고딕"/>
        <family val="2"/>
        <charset val="129"/>
      </rPr>
      <t xml:space="preserve">6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2"/>
        <charset val="129"/>
      </rPr>
      <t xml:space="preserve">+ '27</t>
    </r>
    <r>
      <rPr>
        <sz val="11"/>
        <color theme="1"/>
        <rFont val="WenQuanYi Zen Hei"/>
        <family val="2"/>
      </rPr>
      <t xml:space="preserve">년 정년퇴직예정자 </t>
    </r>
    <r>
      <rPr>
        <sz val="11"/>
        <color theme="1"/>
        <rFont val="맑은 고딕"/>
        <family val="2"/>
        <charset val="129"/>
      </rPr>
      <t xml:space="preserve">9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2"/>
        <charset val="129"/>
      </rPr>
      <t xml:space="preserve">)×1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2"/>
        <charset val="129"/>
      </rPr>
      <t xml:space="preserve">×200</t>
    </r>
    <r>
      <rPr>
        <sz val="11"/>
        <color theme="1"/>
        <rFont val="WenQuanYi Zen Hei"/>
        <family val="2"/>
      </rPr>
      <t xml:space="preserve">천원</t>
    </r>
  </si>
  <si>
    <t xml:space="preserve">명예퇴직(6명), 정년퇴직자 9명으로 작년 대비 인원 추가(9명-&gt;15명)</t>
  </si>
  <si>
    <t xml:space="preserve">동호회</t>
  </si>
  <si>
    <t xml:space="preserve">동호회 운영비</t>
  </si>
  <si>
    <r>
      <rPr>
        <sz val="11"/>
        <color theme="1"/>
        <rFont val="맑은 고딕"/>
        <family val="2"/>
        <charset val="129"/>
      </rPr>
      <t xml:space="preserve">= 1</t>
    </r>
    <r>
      <rPr>
        <sz val="11"/>
        <color theme="1"/>
        <rFont val="WenQuanYi Zen Hei"/>
        <family val="2"/>
      </rPr>
      <t xml:space="preserve">식</t>
    </r>
    <r>
      <rPr>
        <sz val="11"/>
        <color theme="1"/>
        <rFont val="맑은 고딕"/>
        <family val="2"/>
        <charset val="129"/>
      </rPr>
      <t xml:space="preserve">x30,000</t>
    </r>
    <r>
      <rPr>
        <sz val="11"/>
        <color theme="1"/>
        <rFont val="WenQuanYi Zen Hei"/>
        <family val="2"/>
      </rPr>
      <t xml:space="preserve">천원</t>
    </r>
  </si>
  <si>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WenQuanYi Zen Hei"/>
        <family val="2"/>
      </rPr>
      <t xml:space="preserve">중장기 인재육성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WenQuanYi Zen Hei"/>
        <family val="2"/>
      </rPr>
      <t xml:space="preserve">동호회 운영비</t>
    </r>
  </si>
  <si>
    <r>
      <rPr>
        <sz val="11"/>
        <color theme="1"/>
        <rFont val="맑은 고딕"/>
        <family val="2"/>
        <charset val="129"/>
      </rPr>
      <t xml:space="preserve">= 1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2"/>
        <charset val="129"/>
      </rPr>
      <t xml:space="preserve">×30,000</t>
    </r>
    <r>
      <rPr>
        <sz val="11"/>
        <color theme="1"/>
        <rFont val="WenQuanYi Zen Hei"/>
        <family val="2"/>
      </rPr>
      <t xml:space="preserve">천원</t>
    </r>
  </si>
  <si>
    <t xml:space="preserve">웰컴키트</t>
  </si>
  <si>
    <t xml:space="preserve">신입직원 웰컴 키트 제작</t>
  </si>
  <si>
    <t xml:space="preserve">교통약자</t>
  </si>
  <si>
    <r>
      <rPr>
        <sz val="11"/>
        <color theme="1"/>
        <rFont val="맑은 고딕"/>
        <family val="2"/>
        <charset val="129"/>
      </rPr>
      <t xml:space="preserve">1-1-2. </t>
    </r>
    <r>
      <rPr>
        <sz val="11"/>
        <color theme="1"/>
        <rFont val="WenQuanYi Zen Hei"/>
        <family val="2"/>
      </rPr>
      <t xml:space="preserve">재난예방실</t>
    </r>
  </si>
  <si>
    <r>
      <rPr>
        <sz val="11"/>
        <color theme="1"/>
        <rFont val="맑은 고딕"/>
        <family val="2"/>
        <charset val="129"/>
      </rPr>
      <t xml:space="preserve">2-1-1. </t>
    </r>
    <r>
      <rPr>
        <sz val="11"/>
        <color theme="1"/>
        <rFont val="WenQuanYi Zen Hei"/>
        <family val="2"/>
      </rPr>
      <t xml:space="preserve">맞춤형 승강기 사고 예방활동 강화</t>
    </r>
  </si>
  <si>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WenQuanYi Zen Hei"/>
        <family val="2"/>
      </rPr>
      <t xml:space="preserve">생활 속 이동 개선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WenQuanYi Zen Hei"/>
        <family val="2"/>
      </rPr>
      <t xml:space="preserve">교통약자 대상 승강기 사고예방 사업 추진 홍보</t>
    </r>
  </si>
  <si>
    <r>
      <rPr>
        <sz val="11"/>
        <color theme="1"/>
        <rFont val="맑은 고딕"/>
        <family val="2"/>
        <charset val="129"/>
      </rPr>
      <t xml:space="preserve">= 5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2"/>
        <charset val="129"/>
      </rPr>
      <t xml:space="preserve">×100</t>
    </r>
    <r>
      <rPr>
        <sz val="11"/>
        <color theme="1"/>
        <rFont val="WenQuanYi Zen Hei"/>
        <family val="2"/>
      </rPr>
      <t xml:space="preserve">천원</t>
    </r>
  </si>
  <si>
    <r>
      <rPr>
        <sz val="11"/>
        <color theme="1"/>
        <rFont val="맑은 고딕"/>
        <family val="2"/>
        <charset val="129"/>
      </rPr>
      <t xml:space="preserve">1</t>
    </r>
    <r>
      <rPr>
        <sz val="11"/>
        <color theme="1"/>
        <rFont val="WenQuanYi Zen Hei"/>
        <family val="2"/>
      </rPr>
      <t xml:space="preserve">개</t>
    </r>
    <r>
      <rPr>
        <sz val="11"/>
        <color theme="1"/>
        <rFont val="맑은 고딕"/>
        <family val="2"/>
        <charset val="129"/>
      </rPr>
      <t xml:space="preserve">x10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2"/>
        <charset val="129"/>
      </rPr>
      <t xml:space="preserve">x500</t>
    </r>
    <r>
      <rPr>
        <sz val="11"/>
        <color theme="1"/>
        <rFont val="WenQuanYi Zen Hei"/>
        <family val="2"/>
      </rPr>
      <t xml:space="preserve">천원</t>
    </r>
  </si>
  <si>
    <t xml:space="preserve">피난용승강기</t>
  </si>
  <si>
    <r>
      <rPr>
        <sz val="11"/>
        <color theme="1"/>
        <rFont val="맑은 고딕"/>
        <family val="2"/>
        <charset val="129"/>
      </rPr>
      <t xml:space="preserve">2-2-1. </t>
    </r>
    <r>
      <rPr>
        <sz val="11"/>
        <color theme="1"/>
        <rFont val="WenQuanYi Zen Hei"/>
        <family val="2"/>
      </rPr>
      <t xml:space="preserve">촘촘한 재난대응체계 구축 운영</t>
    </r>
  </si>
  <si>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WenQuanYi Zen Hei"/>
        <family val="2"/>
      </rPr>
      <t xml:space="preserve">피난용 승강기 사고예방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WenQuanYi Zen Hei"/>
        <family val="2"/>
      </rPr>
      <t xml:space="preserve">피난용 승강기 모의훈련 지원</t>
    </r>
  </si>
  <si>
    <r>
      <rPr>
        <sz val="11"/>
        <color theme="1"/>
        <rFont val="맑은 고딕"/>
        <family val="2"/>
        <charset val="129"/>
      </rPr>
      <t xml:space="preserve">7</t>
    </r>
    <r>
      <rPr>
        <sz val="11"/>
        <color theme="1"/>
        <rFont val="WenQuanYi Zen Hei"/>
        <family val="2"/>
      </rPr>
      <t xml:space="preserve">개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WenQuanYi Zen Hei"/>
        <family val="2"/>
      </rPr>
      <t xml:space="preserve">지역본부</t>
    </r>
    <r>
      <rPr>
        <sz val="11"/>
        <color theme="1"/>
        <rFont val="맑은 고딕"/>
        <family val="2"/>
        <charset val="129"/>
      </rPr>
      <t xml:space="preserve">)×300</t>
    </r>
    <r>
      <rPr>
        <sz val="11"/>
        <color theme="1"/>
        <rFont val="WenQuanYi Zen Hei"/>
        <family val="2"/>
      </rPr>
      <t xml:space="preserve">천원</t>
    </r>
  </si>
  <si>
    <t xml:space="preserve">안전점검의날</t>
  </si>
  <si>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WenQuanYi Zen Hei"/>
        <family val="2"/>
      </rPr>
      <t xml:space="preserve">안전점검의날 행사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WenQuanYi Zen Hei"/>
        <family val="2"/>
      </rPr>
      <t xml:space="preserve">안전점검의 날 행사 지원</t>
    </r>
  </si>
  <si>
    <r>
      <rPr>
        <sz val="11"/>
        <color theme="1"/>
        <rFont val="맑은 고딕"/>
        <family val="2"/>
        <charset val="129"/>
      </rPr>
      <t xml:space="preserve">= 42</t>
    </r>
    <r>
      <rPr>
        <sz val="11"/>
        <color theme="1"/>
        <rFont val="WenQuanYi Zen Hei"/>
        <family val="2"/>
      </rPr>
      <t xml:space="preserve">개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WenQuanYi Zen Hei"/>
        <family val="2"/>
      </rPr>
      <t xml:space="preserve">지사</t>
    </r>
    <r>
      <rPr>
        <sz val="11"/>
        <color theme="1"/>
        <rFont val="맑은 고딕"/>
        <family val="2"/>
        <charset val="129"/>
      </rPr>
      <t xml:space="preserve">)x100</t>
    </r>
    <r>
      <rPr>
        <sz val="11"/>
        <color theme="1"/>
        <rFont val="WenQuanYi Zen Hei"/>
        <family val="2"/>
      </rPr>
      <t xml:space="preserve">천원</t>
    </r>
    <r>
      <rPr>
        <sz val="11"/>
        <color theme="1"/>
        <rFont val="맑은 고딕"/>
        <family val="2"/>
        <charset val="129"/>
      </rPr>
      <t xml:space="preserve">+4</t>
    </r>
    <r>
      <rPr>
        <sz val="11"/>
        <color theme="1"/>
        <rFont val="WenQuanYi Zen Hei"/>
        <family val="2"/>
      </rPr>
      <t xml:space="preserve">개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WenQuanYi Zen Hei"/>
        <family val="2"/>
      </rPr>
      <t xml:space="preserve">출장소</t>
    </r>
    <r>
      <rPr>
        <sz val="11"/>
        <color theme="1"/>
        <rFont val="맑은 고딕"/>
        <family val="2"/>
        <charset val="129"/>
      </rPr>
      <t xml:space="preserve">)x50</t>
    </r>
    <r>
      <rPr>
        <sz val="11"/>
        <color theme="1"/>
        <rFont val="WenQuanYi Zen Hei"/>
        <family val="2"/>
      </rPr>
      <t xml:space="preserve">천원</t>
    </r>
  </si>
  <si>
    <r>
      <rPr>
        <sz val="11"/>
        <color theme="1"/>
        <rFont val="맑은 고딕"/>
        <family val="2"/>
        <charset val="129"/>
      </rPr>
      <t xml:space="preserve">42</t>
    </r>
    <r>
      <rPr>
        <sz val="11"/>
        <color theme="1"/>
        <rFont val="WenQuanYi Zen Hei"/>
        <family val="2"/>
      </rPr>
      <t xml:space="preserve">개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WenQuanYi Zen Hei"/>
        <family val="2"/>
      </rPr>
      <t xml:space="preserve">지사</t>
    </r>
    <r>
      <rPr>
        <sz val="11"/>
        <color theme="1"/>
        <rFont val="맑은 고딕"/>
        <family val="2"/>
        <charset val="129"/>
      </rPr>
      <t xml:space="preserve">)x100</t>
    </r>
    <r>
      <rPr>
        <sz val="11"/>
        <color theme="1"/>
        <rFont val="WenQuanYi Zen Hei"/>
        <family val="2"/>
      </rPr>
      <t xml:space="preserve">천원</t>
    </r>
    <r>
      <rPr>
        <sz val="11"/>
        <color theme="1"/>
        <rFont val="맑은 고딕"/>
        <family val="2"/>
        <charset val="129"/>
      </rPr>
      <t xml:space="preserve">+4</t>
    </r>
    <r>
      <rPr>
        <sz val="11"/>
        <color theme="1"/>
        <rFont val="WenQuanYi Zen Hei"/>
        <family val="2"/>
      </rPr>
      <t xml:space="preserve">개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WenQuanYi Zen Hei"/>
        <family val="2"/>
      </rPr>
      <t xml:space="preserve">출장소</t>
    </r>
    <r>
      <rPr>
        <sz val="11"/>
        <color theme="1"/>
        <rFont val="맑은 고딕"/>
        <family val="2"/>
        <charset val="129"/>
      </rPr>
      <t xml:space="preserve">)x50</t>
    </r>
    <r>
      <rPr>
        <sz val="11"/>
        <color theme="1"/>
        <rFont val="WenQuanYi Zen Hei"/>
        <family val="2"/>
      </rPr>
      <t xml:space="preserve">천원</t>
    </r>
  </si>
  <si>
    <t xml:space="preserve">재물조사</t>
  </si>
  <si>
    <r>
      <rPr>
        <sz val="11"/>
        <color theme="1"/>
        <rFont val="맑은 고딕"/>
        <family val="2"/>
        <charset val="129"/>
      </rPr>
      <t xml:space="preserve">2-2-3. </t>
    </r>
    <r>
      <rPr>
        <sz val="11"/>
        <color theme="1"/>
        <rFont val="WenQuanYi Zen Hei"/>
        <family val="2"/>
      </rPr>
      <t xml:space="preserve">재무관리실</t>
    </r>
  </si>
  <si>
    <r>
      <rPr>
        <sz val="11"/>
        <color theme="1"/>
        <rFont val="맑은 고딕"/>
        <family val="2"/>
        <charset val="129"/>
      </rPr>
      <t xml:space="preserve">10-3-2. </t>
    </r>
    <r>
      <rPr>
        <sz val="11"/>
        <color theme="1"/>
        <rFont val="WenQuanYi Zen Hei"/>
        <family val="2"/>
      </rPr>
      <t xml:space="preserve">자산 구조개선 및 가치제고로 유동비율 관리</t>
    </r>
  </si>
  <si>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WenQuanYi Zen Hei"/>
        <family val="2"/>
      </rPr>
      <t xml:space="preserve">자산구조 개선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WenQuanYi Zen Hei"/>
        <family val="2"/>
      </rPr>
      <t xml:space="preserve">정기재물조사 실지조사 및 물품담당자 교육</t>
    </r>
  </si>
  <si>
    <r>
      <rPr>
        <sz val="11"/>
        <color theme="1"/>
        <rFont val="맑은 고딕"/>
        <family val="2"/>
        <charset val="129"/>
      </rPr>
      <t xml:space="preserve">= (</t>
    </r>
    <r>
      <rPr>
        <sz val="11"/>
        <color theme="1"/>
        <rFont val="WenQuanYi Zen Hei"/>
        <family val="2"/>
      </rPr>
      <t xml:space="preserve">내부</t>
    </r>
    <r>
      <rPr>
        <sz val="11"/>
        <color theme="1"/>
        <rFont val="맑은 고딕"/>
        <family val="2"/>
        <charset val="129"/>
      </rPr>
      <t xml:space="preserve">) 4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2"/>
        <charset val="129"/>
      </rPr>
      <t xml:space="preserve">×7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2"/>
        <charset val="129"/>
      </rPr>
      <t xml:space="preserve">×5</t>
    </r>
    <r>
      <rPr>
        <sz val="11"/>
        <color theme="1"/>
        <rFont val="WenQuanYi Zen Hei"/>
        <family val="2"/>
      </rPr>
      <t xml:space="preserve">천원</t>
    </r>
  </si>
  <si>
    <t xml:space="preserve">결산</t>
  </si>
  <si>
    <r>
      <rPr>
        <sz val="11"/>
        <color theme="1"/>
        <rFont val="맑은 고딕"/>
        <family val="2"/>
        <charset val="129"/>
      </rPr>
      <t xml:space="preserve">10-3-3. </t>
    </r>
    <r>
      <rPr>
        <sz val="11"/>
        <color theme="1"/>
        <rFont val="WenQuanYi Zen Hei"/>
        <family val="2"/>
      </rPr>
      <t xml:space="preserve">회계 신뢰성 제고 및 효율적 세무관리</t>
    </r>
  </si>
  <si>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WenQuanYi Zen Hei"/>
        <family val="2"/>
      </rPr>
      <t xml:space="preserve">회계신뢰성 제고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WenQuanYi Zen Hei"/>
        <family val="2"/>
      </rPr>
      <t xml:space="preserve">분기별 결산자료 검토 및 보고</t>
    </r>
  </si>
  <si>
    <r>
      <rPr>
        <sz val="11"/>
        <color theme="1"/>
        <rFont val="맑은 고딕"/>
        <family val="2"/>
        <charset val="129"/>
      </rPr>
      <t xml:space="preserve">= (</t>
    </r>
    <r>
      <rPr>
        <sz val="11"/>
        <color theme="1"/>
        <rFont val="WenQuanYi Zen Hei"/>
        <family val="2"/>
      </rPr>
      <t xml:space="preserve">내부</t>
    </r>
    <r>
      <rPr>
        <sz val="11"/>
        <color theme="1"/>
        <rFont val="맑은 고딕"/>
        <family val="2"/>
        <charset val="129"/>
      </rPr>
      <t xml:space="preserve">) 6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2"/>
        <charset val="129"/>
      </rPr>
      <t xml:space="preserve">×4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2"/>
        <charset val="129"/>
      </rPr>
      <t xml:space="preserve">×5</t>
    </r>
    <r>
      <rPr>
        <sz val="11"/>
        <color theme="1"/>
        <rFont val="WenQuanYi Zen Hei"/>
        <family val="2"/>
      </rPr>
      <t xml:space="preserve">천원</t>
    </r>
  </si>
  <si>
    <t xml:space="preserve">재무성과</t>
  </si>
  <si>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WenQuanYi Zen Hei"/>
        <family val="2"/>
      </rPr>
      <t xml:space="preserve">회계신뢰성 제고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WenQuanYi Zen Hei"/>
        <family val="2"/>
      </rPr>
      <t xml:space="preserve">재무성과 계량지표 실적 분석 회의</t>
    </r>
  </si>
  <si>
    <t xml:space="preserve">회계교육</t>
  </si>
  <si>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WenQuanYi Zen Hei"/>
        <family val="2"/>
      </rPr>
      <t xml:space="preserve">회계신뢰성 제고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WenQuanYi Zen Hei"/>
        <family val="2"/>
      </rPr>
      <t xml:space="preserve">회계직원 맞춤형 교육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WenQuanYi Zen Hei"/>
        <family val="2"/>
      </rPr>
      <t xml:space="preserve">상시컨설팅 및 찾아가는 회계서비스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</si>
  <si>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1"/>
        <color theme="1"/>
        <rFont val="맑은 고딕"/>
        <family val="2"/>
        <charset val="129"/>
      </rPr>
      <t xml:space="preserve">= (</t>
    </r>
    <r>
      <rPr>
        <sz val="11"/>
        <color theme="1"/>
        <rFont val="WenQuanYi Zen Hei"/>
        <family val="2"/>
      </rPr>
      <t xml:space="preserve">내부</t>
    </r>
    <r>
      <rPr>
        <sz val="11"/>
        <color theme="1"/>
        <rFont val="맑은 고딕"/>
        <family val="2"/>
        <charset val="129"/>
      </rPr>
      <t xml:space="preserve">)14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2"/>
        <charset val="129"/>
      </rPr>
      <t xml:space="preserve">×8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2"/>
        <charset val="129"/>
      </rPr>
      <t xml:space="preserve">×10</t>
    </r>
    <r>
      <rPr>
        <sz val="11"/>
        <color theme="1"/>
        <rFont val="WenQuanYi Zen Hei"/>
        <family val="2"/>
      </rPr>
      <t xml:space="preserve">천원</t>
    </r>
  </si>
  <si>
    <t xml:space="preserve">감사정보</t>
  </si>
  <si>
    <r>
      <rPr>
        <sz val="11"/>
        <color theme="1"/>
        <rFont val="맑은 고딕"/>
        <family val="2"/>
        <charset val="129"/>
      </rPr>
      <t xml:space="preserve">6-1-1. </t>
    </r>
    <r>
      <rPr>
        <sz val="11"/>
        <color theme="1"/>
        <rFont val="WenQuanYi Zen Hei"/>
        <family val="2"/>
      </rPr>
      <t xml:space="preserve">전략감사실</t>
    </r>
  </si>
  <si>
    <r>
      <rPr>
        <sz val="11"/>
        <color theme="1"/>
        <rFont val="맑은 고딕"/>
        <family val="2"/>
        <charset val="129"/>
      </rPr>
      <t xml:space="preserve">12-4-5. </t>
    </r>
    <r>
      <rPr>
        <sz val="11"/>
        <color theme="1"/>
        <rFont val="WenQuanYi Zen Hei"/>
        <family val="2"/>
      </rPr>
      <t xml:space="preserve">공정투명한 경영실현을 위한 안정적인 경영지원 기능수행</t>
    </r>
  </si>
  <si>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WenQuanYi Zen Hei"/>
        <family val="2"/>
      </rPr>
      <t xml:space="preserve">대내외소통</t>
    </r>
    <r>
      <rPr>
        <sz val="11"/>
        <color theme="1"/>
        <rFont val="맑은 고딕"/>
        <family val="2"/>
        <charset val="129"/>
      </rPr>
      <t xml:space="preserve">) </t>
    </r>
    <r>
      <rPr>
        <sz val="11"/>
        <color theme="1"/>
        <rFont val="WenQuanYi Zen Hei"/>
        <family val="2"/>
      </rPr>
      <t xml:space="preserve">감사정보수집 활동</t>
    </r>
  </si>
  <si>
    <r>
      <rPr>
        <sz val="11"/>
        <color theme="1"/>
        <rFont val="맑은 고딕"/>
        <family val="2"/>
        <charset val="129"/>
      </rPr>
      <t xml:space="preserve">= (</t>
    </r>
    <r>
      <rPr>
        <sz val="11"/>
        <color theme="1"/>
        <rFont val="WenQuanYi Zen Hei"/>
        <family val="2"/>
      </rPr>
      <t xml:space="preserve">내부</t>
    </r>
    <r>
      <rPr>
        <sz val="11"/>
        <color theme="1"/>
        <rFont val="맑은 고딕"/>
        <family val="2"/>
        <charset val="129"/>
      </rPr>
      <t xml:space="preserve">) 9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2"/>
        <charset val="129"/>
      </rPr>
      <t xml:space="preserve">×12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2"/>
        <charset val="129"/>
      </rPr>
      <t xml:space="preserve">×50</t>
    </r>
    <r>
      <rPr>
        <sz val="11"/>
        <color theme="1"/>
        <rFont val="WenQuanYi Zen Hei"/>
        <family val="2"/>
      </rPr>
      <t xml:space="preserve">천원</t>
    </r>
  </si>
  <si>
    <r>
      <rPr>
        <sz val="11"/>
        <color theme="1"/>
        <rFont val="맑은 고딕"/>
        <family val="2"/>
        <charset val="129"/>
      </rPr>
      <t xml:space="preserve">= (</t>
    </r>
    <r>
      <rPr>
        <sz val="11"/>
        <color theme="1"/>
        <rFont val="WenQuanYi Zen Hei"/>
        <family val="2"/>
      </rPr>
      <t xml:space="preserve">내부</t>
    </r>
    <r>
      <rPr>
        <sz val="11"/>
        <color theme="1"/>
        <rFont val="맑은 고딕"/>
        <family val="2"/>
        <charset val="129"/>
      </rPr>
      <t xml:space="preserve">) 12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2"/>
        <charset val="129"/>
      </rPr>
      <t xml:space="preserve">×12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2"/>
        <charset val="129"/>
      </rPr>
      <t xml:space="preserve">×50</t>
    </r>
    <r>
      <rPr>
        <sz val="11"/>
        <color theme="1"/>
        <rFont val="WenQuanYi Zen Hei"/>
        <family val="2"/>
      </rPr>
      <t xml:space="preserve">천원</t>
    </r>
  </si>
  <si>
    <t xml:space="preserve">사이버보안</t>
  </si>
  <si>
    <r>
      <rPr>
        <sz val="11"/>
        <color theme="1"/>
        <rFont val="맑은 고딕"/>
        <family val="2"/>
        <charset val="129"/>
      </rPr>
      <t xml:space="preserve">2-2-5. </t>
    </r>
    <r>
      <rPr>
        <sz val="11"/>
        <color theme="1"/>
        <rFont val="WenQuanYi Zen Hei"/>
        <family val="2"/>
      </rPr>
      <t xml:space="preserve">정보보안팀</t>
    </r>
  </si>
  <si>
    <r>
      <rPr>
        <sz val="11"/>
        <color theme="1"/>
        <rFont val="맑은 고딕"/>
        <family val="2"/>
        <charset val="129"/>
      </rPr>
      <t xml:space="preserve">11-7-2. </t>
    </r>
    <r>
      <rPr>
        <sz val="11"/>
        <color theme="1"/>
        <rFont val="WenQuanYi Zen Hei"/>
        <family val="2"/>
      </rPr>
      <t xml:space="preserve">국가 보안정책과 연계한 정보보안 관리체계 고도화</t>
    </r>
  </si>
  <si>
    <t xml:space="preserve">국정원 및 행안부 사이버보안 실태 점검 대응 회의</t>
  </si>
  <si>
    <r>
      <rPr>
        <sz val="11"/>
        <color theme="1"/>
        <rFont val="맑은 고딕"/>
        <family val="2"/>
        <charset val="129"/>
      </rPr>
      <t xml:space="preserve">= (</t>
    </r>
    <r>
      <rPr>
        <sz val="11"/>
        <color theme="1"/>
        <rFont val="WenQuanYi Zen Hei"/>
        <family val="2"/>
      </rPr>
      <t xml:space="preserve">내부</t>
    </r>
    <r>
      <rPr>
        <sz val="11"/>
        <color theme="1"/>
        <rFont val="맑은 고딕"/>
        <family val="2"/>
        <charset val="129"/>
      </rPr>
      <t xml:space="preserve">) 6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2"/>
        <charset val="129"/>
      </rPr>
      <t xml:space="preserve">×8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2"/>
        <charset val="129"/>
      </rPr>
      <t xml:space="preserve">×5</t>
    </r>
    <r>
      <rPr>
        <sz val="11"/>
        <color theme="1"/>
        <rFont val="WenQuanYi Zen Hei"/>
        <family val="2"/>
      </rPr>
      <t xml:space="preserve">천원 </t>
    </r>
    <r>
      <rPr>
        <sz val="11"/>
        <color theme="1"/>
        <rFont val="맑은 고딕"/>
        <family val="2"/>
        <charset val="129"/>
      </rPr>
      <t xml:space="preserve">+ (</t>
    </r>
    <r>
      <rPr>
        <sz val="11"/>
        <color theme="1"/>
        <rFont val="WenQuanYi Zen Hei"/>
        <family val="2"/>
      </rPr>
      <t xml:space="preserve">외부</t>
    </r>
    <r>
      <rPr>
        <sz val="11"/>
        <color theme="1"/>
        <rFont val="맑은 고딕"/>
        <family val="2"/>
        <charset val="129"/>
      </rPr>
      <t xml:space="preserve">) 6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2"/>
        <charset val="129"/>
      </rPr>
      <t xml:space="preserve">×3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2"/>
        <charset val="129"/>
      </rPr>
      <t xml:space="preserve">×30</t>
    </r>
    <r>
      <rPr>
        <sz val="11"/>
        <color theme="1"/>
        <rFont val="WenQuanYi Zen Hei"/>
        <family val="2"/>
      </rPr>
      <t xml:space="preserve">천원</t>
    </r>
  </si>
  <si>
    <r>
      <rPr>
        <sz val="11"/>
        <color theme="1"/>
        <rFont val="맑은 고딕"/>
        <family val="2"/>
        <charset val="129"/>
      </rPr>
      <t xml:space="preserve">= 6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2"/>
        <charset val="129"/>
      </rPr>
      <t xml:space="preserve">×6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2"/>
        <charset val="129"/>
      </rPr>
      <t xml:space="preserve">×25</t>
    </r>
    <r>
      <rPr>
        <sz val="11"/>
        <color theme="1"/>
        <rFont val="WenQuanYi Zen Hei"/>
        <family val="2"/>
      </rPr>
      <t xml:space="preserve">천원</t>
    </r>
  </si>
  <si>
    <t xml:space="preserve">사이버훈련</t>
  </si>
  <si>
    <r>
      <rPr>
        <sz val="11"/>
        <color theme="1"/>
        <rFont val="맑은 고딕"/>
        <family val="2"/>
        <charset val="129"/>
      </rPr>
      <t xml:space="preserve">11-7-3. </t>
    </r>
    <r>
      <rPr>
        <sz val="11"/>
        <color theme="1"/>
        <rFont val="WenQuanYi Zen Hei"/>
        <family val="2"/>
      </rPr>
      <t xml:space="preserve">사이버 위협 대응 인프라 구축 및 </t>
    </r>
    <r>
      <rPr>
        <sz val="11"/>
        <color theme="1"/>
        <rFont val="맑은 고딕"/>
        <family val="2"/>
        <charset val="129"/>
      </rPr>
      <t xml:space="preserve">24</t>
    </r>
    <r>
      <rPr>
        <sz val="11"/>
        <color theme="1"/>
        <rFont val="WenQuanYi Zen Hei"/>
        <family val="2"/>
      </rPr>
      <t xml:space="preserve">시간 보안관제 운영</t>
    </r>
  </si>
  <si>
    <t xml:space="preserve">사이버위기 대응훈련 실시를 위한 업무협의 등</t>
  </si>
  <si>
    <r>
      <rPr>
        <sz val="11"/>
        <color theme="1"/>
        <rFont val="맑은 고딕"/>
        <family val="2"/>
        <charset val="129"/>
      </rPr>
      <t xml:space="preserve">= (</t>
    </r>
    <r>
      <rPr>
        <sz val="11"/>
        <color theme="1"/>
        <rFont val="WenQuanYi Zen Hei"/>
        <family val="2"/>
      </rPr>
      <t xml:space="preserve">내부</t>
    </r>
    <r>
      <rPr>
        <sz val="11"/>
        <color theme="1"/>
        <rFont val="맑은 고딕"/>
        <family val="2"/>
        <charset val="129"/>
      </rPr>
      <t xml:space="preserve">) 3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2"/>
        <charset val="129"/>
      </rPr>
      <t xml:space="preserve">×4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2"/>
        <charset val="129"/>
      </rPr>
      <t xml:space="preserve">×5</t>
    </r>
    <r>
      <rPr>
        <sz val="11"/>
        <color theme="1"/>
        <rFont val="WenQuanYi Zen Hei"/>
        <family val="2"/>
      </rPr>
      <t xml:space="preserve">천원 </t>
    </r>
    <r>
      <rPr>
        <sz val="11"/>
        <color theme="1"/>
        <rFont val="맑은 고딕"/>
        <family val="2"/>
        <charset val="129"/>
      </rPr>
      <t xml:space="preserve">+ (</t>
    </r>
    <r>
      <rPr>
        <sz val="11"/>
        <color theme="1"/>
        <rFont val="WenQuanYi Zen Hei"/>
        <family val="2"/>
      </rPr>
      <t xml:space="preserve">외부</t>
    </r>
    <r>
      <rPr>
        <sz val="11"/>
        <color theme="1"/>
        <rFont val="맑은 고딕"/>
        <family val="2"/>
        <charset val="129"/>
      </rPr>
      <t xml:space="preserve">) 5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2"/>
        <charset val="129"/>
      </rPr>
      <t xml:space="preserve">×2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2"/>
        <charset val="129"/>
      </rPr>
      <t xml:space="preserve">×30</t>
    </r>
    <r>
      <rPr>
        <sz val="11"/>
        <color theme="1"/>
        <rFont val="WenQuanYi Zen Hei"/>
        <family val="2"/>
      </rPr>
      <t xml:space="preserve">천원</t>
    </r>
  </si>
  <si>
    <r>
      <rPr>
        <sz val="11"/>
        <color theme="1"/>
        <rFont val="맑은 고딕"/>
        <family val="2"/>
        <charset val="129"/>
      </rPr>
      <t xml:space="preserve">= 3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2"/>
        <charset val="129"/>
      </rPr>
      <t xml:space="preserve">×2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2"/>
        <charset val="129"/>
      </rPr>
      <t xml:space="preserve">×25</t>
    </r>
    <r>
      <rPr>
        <sz val="11"/>
        <color theme="1"/>
        <rFont val="WenQuanYi Zen Hei"/>
        <family val="2"/>
      </rPr>
      <t xml:space="preserve">천원</t>
    </r>
  </si>
  <si>
    <t xml:space="preserve">감사인활동비</t>
  </si>
  <si>
    <r>
      <rPr>
        <sz val="11"/>
        <color theme="1"/>
        <rFont val="맑은 고딕"/>
        <family val="2"/>
        <charset val="129"/>
      </rPr>
      <t xml:space="preserve">6-1-2. </t>
    </r>
    <r>
      <rPr>
        <sz val="11"/>
        <color theme="1"/>
        <rFont val="WenQuanYi Zen Hei"/>
        <family val="2"/>
      </rPr>
      <t xml:space="preserve">청렴감사실</t>
    </r>
  </si>
  <si>
    <r>
      <rPr>
        <sz val="11"/>
        <color theme="1"/>
        <rFont val="맑은 고딕"/>
        <family val="2"/>
        <charset val="129"/>
      </rPr>
      <t xml:space="preserve">12-6-3. </t>
    </r>
    <r>
      <rPr>
        <sz val="11"/>
        <color theme="1"/>
        <rFont val="WenQuanYi Zen Hei"/>
        <family val="2"/>
      </rPr>
      <t xml:space="preserve">공직기강 확립을 위한 점검 및 모니터링 체계 고도화</t>
    </r>
  </si>
  <si>
    <t xml:space="preserve">감사인 활동비</t>
  </si>
  <si>
    <r>
      <rPr>
        <sz val="11"/>
        <color theme="1"/>
        <rFont val="맑은 고딕"/>
        <family val="2"/>
        <charset val="129"/>
      </rPr>
      <t xml:space="preserve">=5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2"/>
        <charset val="129"/>
      </rPr>
      <t xml:space="preserve">×12</t>
    </r>
    <r>
      <rPr>
        <sz val="11"/>
        <color theme="1"/>
        <rFont val="WenQuanYi Zen Hei"/>
        <family val="2"/>
      </rPr>
      <t xml:space="preserve">월</t>
    </r>
    <r>
      <rPr>
        <sz val="11"/>
        <color theme="1"/>
        <rFont val="맑은 고딕"/>
        <family val="2"/>
        <charset val="129"/>
      </rPr>
      <t xml:space="preserve">×50</t>
    </r>
    <r>
      <rPr>
        <sz val="11"/>
        <color theme="1"/>
        <rFont val="WenQuanYi Zen Hei"/>
        <family val="2"/>
      </rPr>
      <t xml:space="preserve">천원</t>
    </r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</si>
</sst>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_(* #,##0_);_(* \(#,##0\);_(* \-_);_(@_)"/>
    <numFmt numFmtId="166" formatCode="#,##0"/>
    <numFmt numFmtId="167" formatCode="#,##0_);[RED]\(#,##0\)"/>
    <numFmt numFmtId="168" formatCode="_-* #,##0_-;\-* #,##0_-;_-* \-_-;_-@_-"/>
    <numFmt numFmtId="169" formatCode="#,##0.0"/>
    <numFmt numFmtId="170" formatCode="#,##0_ "/>
    <numFmt numFmtId="171" formatCode="@"/>
  </numFmts>
  <fonts count="11">
    <font>
      <sz val="11"/>
      <color theme="1"/>
      <name val="맑은 고딕"/>
      <family val="2"/>
      <charset val="129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맑은 고딕"/>
      <family val="3"/>
      <charset val="129"/>
    </font>
    <font>
      <sz val="11"/>
      <color theme="1"/>
      <name val="WenQuanYi Zen Hei"/>
      <family val="2"/>
      <charset val="1"/>
    </font>
    <font>
      <b val="true"/>
      <sz val="10"/>
      <name val="WenQuanYi Zen Hei"/>
      <family val="2"/>
      <charset val="1"/>
    </font>
    <font>
      <b val="true"/>
      <sz val="10"/>
      <color theme="0"/>
      <name val="WenQuanYi Zen Hei"/>
      <family val="2"/>
      <charset val="1"/>
    </font>
    <font>
      <b val="true"/>
      <sz val="10"/>
      <color theme="0"/>
      <name val="맑은 고딕"/>
      <family val="3"/>
      <charset val="129"/>
    </font>
    <font>
      <b val="true"/>
      <sz val="10"/>
      <color theme="0"/>
      <name val="WenQuanYi Zen Hei"/>
      <family val="2"/>
    </font>
    <font>
      <sz val="11"/>
      <color theme="1"/>
      <name val="WenQuanYi Zen He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5"/>
        <bgColor rgb="FFC0C0C0"/>
      </patternFill>
    </fill>
    <fill>
      <patternFill patternType="solid">
        <fgColor theme="3" tint="-0.25"/>
        <bgColor rgb="FF333399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>
        <color rgb="FF0000FF"/>
      </left>
      <right/>
      <top/>
      <bottom/>
      <diagonal/>
    </border>
    <border diagonalUp="false" diagonalDown="false">
      <left style="thin"/>
      <right style="medium">
        <color rgb="FF0000FF"/>
      </right>
      <top style="thin"/>
      <bottom style="thin"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2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</cellStyleXfs>
  <cellXfs count="31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0" fillId="0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5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0" fillId="0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0" fillId="0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5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0" fillId="0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0" fontId="0" fillId="0" borderId="5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0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0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5" fillId="0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5" fillId="0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1" fontId="0" fillId="0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5" fillId="0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5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5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0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5" fillId="0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쉼표 [0] 2" xfId="20"/>
    <cellStyle name="표준 4" xfId="21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F4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테마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AA166"/>
  <sheetViews>
    <sheetView showFormulas="false" showGridLines="true" showRowColHeaders="true" showZeros="true" rightToLeft="false" tabSelected="true" showOutlineSymbols="true" defaultGridColor="true" view="normal" topLeftCell="H1" colorId="64" zoomScale="100" zoomScaleNormal="100" zoomScalePageLayoutView="100" workbookViewId="0">
      <selection pane="topLeft" activeCell="F7" activeCellId="0" sqref="F7"/>
    </sheetView>
  </sheetViews>
  <sheetFormatPr defaultColWidth="8.53125" defaultRowHeight="16.5" zeroHeight="false" outlineLevelRow="0" outlineLevelCol="0"/>
  <sheetData>
    <row r="2" customFormat="false" ht="16.5" hidden="false" customHeight="true" outlineLevel="0" collapsed="false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2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4" t="s">
        <v>12</v>
      </c>
      <c r="N2" s="5" t="s">
        <v>8</v>
      </c>
      <c r="O2" s="6" t="s">
        <v>9</v>
      </c>
      <c r="P2" s="6" t="s">
        <v>13</v>
      </c>
      <c r="Q2" s="6" t="s">
        <v>14</v>
      </c>
      <c r="R2" s="6" t="s">
        <v>15</v>
      </c>
      <c r="S2" s="6" t="s">
        <v>16</v>
      </c>
      <c r="T2" s="6" t="s">
        <v>17</v>
      </c>
      <c r="U2" s="6" t="s">
        <v>18</v>
      </c>
      <c r="V2" s="7" t="s">
        <v>19</v>
      </c>
      <c r="W2" s="8"/>
      <c r="X2" s="8" t="s">
        <v>20</v>
      </c>
      <c r="Y2" s="8" t="s">
        <v>21</v>
      </c>
      <c r="Z2" s="8" t="s">
        <v>22</v>
      </c>
      <c r="AA2" s="9" t="s">
        <v>23</v>
      </c>
    </row>
    <row r="3" customFormat="false" ht="125.25" hidden="false" customHeight="true" outlineLevel="0" collapsed="false">
      <c r="A3" s="10"/>
      <c r="B3" s="11" t="s">
        <v>24</v>
      </c>
      <c r="C3" s="11" t="s">
        <v>25</v>
      </c>
      <c r="D3" s="12" t="s">
        <v>26</v>
      </c>
      <c r="E3" s="10"/>
      <c r="F3" s="10" t="n">
        <v>22</v>
      </c>
      <c r="G3" s="10" t="s">
        <v>27</v>
      </c>
      <c r="H3" s="13" t="s">
        <v>28</v>
      </c>
      <c r="I3" s="14" t="s">
        <v>29</v>
      </c>
      <c r="J3" s="14" t="s">
        <v>30</v>
      </c>
      <c r="K3" s="15" t="s">
        <v>31</v>
      </c>
      <c r="L3" s="16" t="s">
        <v>32</v>
      </c>
      <c r="M3" s="14" t="n">
        <f aca="false">40*12*70</f>
        <v>33600</v>
      </c>
      <c r="N3" s="17" t="s">
        <v>33</v>
      </c>
      <c r="O3" s="17" t="s">
        <v>30</v>
      </c>
      <c r="P3" s="18" t="s">
        <v>31</v>
      </c>
      <c r="Q3" s="18" t="s">
        <v>34</v>
      </c>
      <c r="R3" s="19" t="n">
        <v>22680</v>
      </c>
      <c r="S3" s="10" t="n">
        <f aca="false">R3-M3</f>
        <v>-10920</v>
      </c>
      <c r="T3" s="10"/>
      <c r="U3" s="19" t="n">
        <v>22680</v>
      </c>
      <c r="V3" s="13" t="s">
        <v>35</v>
      </c>
      <c r="W3" s="20" t="s">
        <v>36</v>
      </c>
      <c r="X3" s="14" t="n">
        <v>7560</v>
      </c>
      <c r="Y3" s="14" t="n">
        <v>7560</v>
      </c>
      <c r="Z3" s="14" t="n">
        <v>7560</v>
      </c>
      <c r="AA3" s="10"/>
    </row>
    <row r="4" customFormat="false" ht="110.25" hidden="false" customHeight="true" outlineLevel="0" collapsed="false">
      <c r="A4" s="10"/>
      <c r="B4" s="11" t="s">
        <v>24</v>
      </c>
      <c r="C4" s="11" t="s">
        <v>37</v>
      </c>
      <c r="D4" s="12" t="s">
        <v>38</v>
      </c>
      <c r="E4" s="10"/>
      <c r="F4" s="10" t="n">
        <v>27</v>
      </c>
      <c r="G4" s="21" t="s">
        <v>27</v>
      </c>
      <c r="H4" s="13" t="s">
        <v>39</v>
      </c>
      <c r="I4" s="10"/>
      <c r="J4" s="10"/>
      <c r="K4" s="12"/>
      <c r="L4" s="12"/>
      <c r="M4" s="10"/>
      <c r="N4" s="17" t="s">
        <v>40</v>
      </c>
      <c r="O4" s="17" t="s">
        <v>41</v>
      </c>
      <c r="P4" s="18" t="s">
        <v>42</v>
      </c>
      <c r="Q4" s="18" t="s">
        <v>43</v>
      </c>
      <c r="R4" s="19" t="n">
        <v>5000</v>
      </c>
      <c r="S4" s="10" t="n">
        <f aca="false">R4-M4</f>
        <v>5000</v>
      </c>
      <c r="T4" s="10"/>
      <c r="U4" s="19" t="n">
        <v>5000</v>
      </c>
      <c r="V4" s="22" t="s">
        <v>44</v>
      </c>
      <c r="W4" s="20" t="s">
        <v>45</v>
      </c>
      <c r="X4" s="10"/>
      <c r="Y4" s="21" t="n">
        <v>5000</v>
      </c>
      <c r="Z4" s="10"/>
      <c r="AA4" s="10"/>
    </row>
    <row r="5" customFormat="false" ht="265.5" hidden="false" customHeight="true" outlineLevel="0" collapsed="false">
      <c r="A5" s="10"/>
      <c r="B5" s="11" t="s">
        <v>24</v>
      </c>
      <c r="C5" s="11" t="s">
        <v>46</v>
      </c>
      <c r="D5" s="12" t="s">
        <v>47</v>
      </c>
      <c r="E5" s="10"/>
      <c r="F5" s="10" t="n">
        <v>8</v>
      </c>
      <c r="G5" s="21" t="s">
        <v>48</v>
      </c>
      <c r="H5" s="13" t="s">
        <v>49</v>
      </c>
      <c r="I5" s="14" t="s">
        <v>33</v>
      </c>
      <c r="J5" s="14" t="s">
        <v>50</v>
      </c>
      <c r="K5" s="15" t="s">
        <v>51</v>
      </c>
      <c r="L5" s="16" t="s">
        <v>52</v>
      </c>
      <c r="M5" s="20" t="n">
        <v>3000</v>
      </c>
      <c r="N5" s="14" t="s">
        <v>33</v>
      </c>
      <c r="O5" s="14" t="s">
        <v>50</v>
      </c>
      <c r="P5" s="15" t="s">
        <v>51</v>
      </c>
      <c r="Q5" s="18" t="s">
        <v>53</v>
      </c>
      <c r="R5" s="19" t="n">
        <v>3000</v>
      </c>
      <c r="S5" s="10" t="n">
        <f aca="false">R5-M5</f>
        <v>0</v>
      </c>
      <c r="T5" s="19"/>
      <c r="U5" s="10" t="n">
        <v>3000</v>
      </c>
      <c r="V5" s="22" t="s">
        <v>54</v>
      </c>
      <c r="W5" s="20" t="s">
        <v>55</v>
      </c>
      <c r="X5" s="20" t="n">
        <v>0</v>
      </c>
      <c r="Y5" s="20" t="n">
        <v>0</v>
      </c>
      <c r="Z5" s="20" t="n">
        <v>0</v>
      </c>
      <c r="AA5" s="20" t="n">
        <v>3000</v>
      </c>
    </row>
    <row r="6" customFormat="false" ht="98.25" hidden="false" customHeight="true" outlineLevel="0" collapsed="false">
      <c r="A6" s="10"/>
      <c r="B6" s="11" t="s">
        <v>24</v>
      </c>
      <c r="C6" s="11" t="s">
        <v>56</v>
      </c>
      <c r="D6" s="12" t="s">
        <v>47</v>
      </c>
      <c r="E6" s="10"/>
      <c r="F6" s="10" t="n">
        <v>39</v>
      </c>
      <c r="G6" s="21" t="s">
        <v>48</v>
      </c>
      <c r="H6" s="13" t="s">
        <v>49</v>
      </c>
      <c r="I6" s="14" t="s">
        <v>33</v>
      </c>
      <c r="J6" s="11" t="s">
        <v>30</v>
      </c>
      <c r="K6" s="12"/>
      <c r="L6" s="12"/>
      <c r="M6" s="10"/>
      <c r="N6" s="14" t="s">
        <v>33</v>
      </c>
      <c r="O6" s="11" t="s">
        <v>30</v>
      </c>
      <c r="P6" s="15" t="s">
        <v>57</v>
      </c>
      <c r="Q6" s="13" t="s">
        <v>58</v>
      </c>
      <c r="R6" s="19" t="n">
        <v>3600</v>
      </c>
      <c r="S6" s="10" t="n">
        <f aca="false">R6-M6</f>
        <v>3600</v>
      </c>
      <c r="T6" s="19"/>
      <c r="U6" s="10" t="n">
        <v>3600</v>
      </c>
      <c r="V6" s="22" t="s">
        <v>59</v>
      </c>
      <c r="W6" s="20" t="s">
        <v>36</v>
      </c>
      <c r="X6" s="20" t="n">
        <v>0</v>
      </c>
      <c r="Y6" s="20" t="n">
        <v>1200</v>
      </c>
      <c r="Z6" s="20" t="n">
        <v>1200</v>
      </c>
      <c r="AA6" s="20" t="n">
        <v>1200</v>
      </c>
    </row>
    <row r="7" customFormat="false" ht="123.75" hidden="false" customHeight="true" outlineLevel="0" collapsed="false">
      <c r="A7" s="10"/>
      <c r="B7" s="11" t="s">
        <v>24</v>
      </c>
      <c r="C7" s="11" t="s">
        <v>56</v>
      </c>
      <c r="D7" s="12" t="s">
        <v>47</v>
      </c>
      <c r="E7" s="10"/>
      <c r="F7" s="10" t="n">
        <v>43</v>
      </c>
      <c r="G7" s="21" t="s">
        <v>48</v>
      </c>
      <c r="H7" s="13" t="s">
        <v>49</v>
      </c>
      <c r="I7" s="14" t="s">
        <v>33</v>
      </c>
      <c r="J7" s="14" t="s">
        <v>60</v>
      </c>
      <c r="K7" s="12"/>
      <c r="L7" s="12"/>
      <c r="M7" s="10"/>
      <c r="N7" s="14" t="s">
        <v>33</v>
      </c>
      <c r="O7" s="14" t="s">
        <v>60</v>
      </c>
      <c r="P7" s="15" t="s">
        <v>61</v>
      </c>
      <c r="Q7" s="13" t="s">
        <v>62</v>
      </c>
      <c r="R7" s="19" t="n">
        <v>3000</v>
      </c>
      <c r="S7" s="10" t="n">
        <f aca="false">R7-M7</f>
        <v>3000</v>
      </c>
      <c r="T7" s="19"/>
      <c r="U7" s="10" t="n">
        <v>3000</v>
      </c>
      <c r="V7" s="22" t="s">
        <v>63</v>
      </c>
      <c r="W7" s="20" t="s">
        <v>55</v>
      </c>
      <c r="X7" s="20" t="n">
        <v>0</v>
      </c>
      <c r="Y7" s="20" t="n">
        <v>3000</v>
      </c>
      <c r="Z7" s="20" t="n">
        <v>0</v>
      </c>
      <c r="AA7" s="20" t="n">
        <v>0</v>
      </c>
    </row>
    <row r="8" customFormat="false" ht="139.5" hidden="false" customHeight="true" outlineLevel="0" collapsed="false">
      <c r="A8" s="10"/>
      <c r="B8" s="11" t="s">
        <v>24</v>
      </c>
      <c r="C8" s="11" t="s">
        <v>64</v>
      </c>
      <c r="D8" s="12" t="s">
        <v>65</v>
      </c>
      <c r="E8" s="10"/>
      <c r="F8" s="10" t="n">
        <v>4</v>
      </c>
      <c r="G8" s="20" t="s">
        <v>66</v>
      </c>
      <c r="H8" s="13" t="s">
        <v>67</v>
      </c>
      <c r="I8" s="14" t="s">
        <v>29</v>
      </c>
      <c r="J8" s="14" t="s">
        <v>64</v>
      </c>
      <c r="K8" s="15" t="s">
        <v>68</v>
      </c>
      <c r="L8" s="16" t="s">
        <v>69</v>
      </c>
      <c r="M8" s="20" t="n">
        <v>9339219</v>
      </c>
      <c r="N8" s="17" t="s">
        <v>29</v>
      </c>
      <c r="O8" s="17" t="s">
        <v>64</v>
      </c>
      <c r="P8" s="18" t="s">
        <v>68</v>
      </c>
      <c r="Q8" s="18" t="s">
        <v>70</v>
      </c>
      <c r="R8" s="19" t="n">
        <v>9471168</v>
      </c>
      <c r="S8" s="10" t="n">
        <f aca="false">R8-M8</f>
        <v>131949</v>
      </c>
      <c r="T8" s="10"/>
      <c r="U8" s="19" t="n">
        <v>9471168</v>
      </c>
      <c r="V8" s="13" t="s">
        <v>71</v>
      </c>
      <c r="W8" s="20" t="s">
        <v>55</v>
      </c>
      <c r="X8" s="21" t="n">
        <f aca="false">$R8/4</f>
        <v>2367792</v>
      </c>
      <c r="Y8" s="21" t="n">
        <f aca="false">$R8/4</f>
        <v>2367792</v>
      </c>
      <c r="Z8" s="21" t="n">
        <f aca="false">$R8/4</f>
        <v>2367792</v>
      </c>
      <c r="AA8" s="21" t="n">
        <f aca="false">$R8/4</f>
        <v>2367792</v>
      </c>
    </row>
    <row r="9" customFormat="false" ht="165" hidden="false" customHeight="true" outlineLevel="0" collapsed="false">
      <c r="A9" s="10"/>
      <c r="B9" s="11" t="s">
        <v>72</v>
      </c>
      <c r="C9" s="11" t="s">
        <v>73</v>
      </c>
      <c r="D9" s="12" t="s">
        <v>74</v>
      </c>
      <c r="E9" s="10"/>
      <c r="F9" s="10" t="n">
        <v>9</v>
      </c>
      <c r="G9" s="20" t="s">
        <v>66</v>
      </c>
      <c r="H9" s="13" t="s">
        <v>67</v>
      </c>
      <c r="I9" s="14" t="s">
        <v>29</v>
      </c>
      <c r="J9" s="14" t="s">
        <v>30</v>
      </c>
      <c r="K9" s="15" t="s">
        <v>75</v>
      </c>
      <c r="L9" s="16" t="s">
        <v>76</v>
      </c>
      <c r="M9" s="20" t="n">
        <v>5000</v>
      </c>
      <c r="N9" s="17" t="s">
        <v>29</v>
      </c>
      <c r="O9" s="17" t="s">
        <v>30</v>
      </c>
      <c r="P9" s="18" t="s">
        <v>75</v>
      </c>
      <c r="Q9" s="16" t="s">
        <v>77</v>
      </c>
      <c r="R9" s="19" t="n">
        <v>10000</v>
      </c>
      <c r="S9" s="10" t="n">
        <f aca="false">R9-M9</f>
        <v>5000</v>
      </c>
      <c r="T9" s="10"/>
      <c r="U9" s="19" t="n">
        <v>10000</v>
      </c>
      <c r="V9" s="22" t="s">
        <v>78</v>
      </c>
      <c r="W9" s="20" t="s">
        <v>55</v>
      </c>
      <c r="X9" s="21" t="n">
        <f aca="false">$R9/4</f>
        <v>2500</v>
      </c>
      <c r="Y9" s="21" t="n">
        <f aca="false">$R9/4</f>
        <v>2500</v>
      </c>
      <c r="Z9" s="21" t="n">
        <f aca="false">$R9/4</f>
        <v>2500</v>
      </c>
      <c r="AA9" s="21" t="n">
        <f aca="false">$R9/4</f>
        <v>2500</v>
      </c>
    </row>
    <row r="10" customFormat="false" ht="100.5" hidden="false" customHeight="true" outlineLevel="0" collapsed="false">
      <c r="A10" s="10"/>
      <c r="B10" s="11" t="s">
        <v>72</v>
      </c>
      <c r="C10" s="11" t="s">
        <v>79</v>
      </c>
      <c r="D10" s="12" t="s">
        <v>80</v>
      </c>
      <c r="E10" s="10"/>
      <c r="F10" s="10" t="n">
        <v>25</v>
      </c>
      <c r="G10" s="20" t="s">
        <v>66</v>
      </c>
      <c r="H10" s="13" t="s">
        <v>67</v>
      </c>
      <c r="I10" s="14" t="s">
        <v>29</v>
      </c>
      <c r="J10" s="11" t="s">
        <v>81</v>
      </c>
      <c r="K10" s="15" t="s">
        <v>82</v>
      </c>
      <c r="L10" s="16" t="s">
        <v>83</v>
      </c>
      <c r="M10" s="20" t="n">
        <v>5300</v>
      </c>
      <c r="N10" s="17" t="s">
        <v>29</v>
      </c>
      <c r="O10" s="17" t="s">
        <v>81</v>
      </c>
      <c r="P10" s="18" t="s">
        <v>82</v>
      </c>
      <c r="Q10" s="18" t="s">
        <v>84</v>
      </c>
      <c r="R10" s="19" t="n">
        <v>5700</v>
      </c>
      <c r="S10" s="10" t="n">
        <f aca="false">R10-M10</f>
        <v>400</v>
      </c>
      <c r="T10" s="10"/>
      <c r="U10" s="19" t="n">
        <f aca="false">R10</f>
        <v>5700</v>
      </c>
      <c r="V10" s="12"/>
      <c r="W10" s="20" t="s">
        <v>55</v>
      </c>
      <c r="X10" s="21" t="n">
        <f aca="false">$R10/4</f>
        <v>1425</v>
      </c>
      <c r="Y10" s="21" t="n">
        <f aca="false">$R10/4</f>
        <v>1425</v>
      </c>
      <c r="Z10" s="21" t="n">
        <f aca="false">$R10/4</f>
        <v>1425</v>
      </c>
      <c r="AA10" s="21" t="n">
        <f aca="false">$R10/4</f>
        <v>1425</v>
      </c>
    </row>
    <row r="11" customFormat="false" ht="110.25" hidden="false" customHeight="true" outlineLevel="0" collapsed="false">
      <c r="A11" s="10"/>
      <c r="B11" s="11" t="s">
        <v>72</v>
      </c>
      <c r="C11" s="10" t="s">
        <v>85</v>
      </c>
      <c r="D11" s="12" t="s">
        <v>38</v>
      </c>
      <c r="E11" s="10"/>
      <c r="F11" s="10" t="n">
        <v>30</v>
      </c>
      <c r="G11" s="20" t="s">
        <v>66</v>
      </c>
      <c r="H11" s="12" t="s">
        <v>86</v>
      </c>
      <c r="I11" s="14" t="s">
        <v>29</v>
      </c>
      <c r="J11" s="10"/>
      <c r="K11" s="12"/>
      <c r="L11" s="12"/>
      <c r="M11" s="10"/>
      <c r="N11" s="14" t="s">
        <v>29</v>
      </c>
      <c r="O11" s="14" t="s">
        <v>30</v>
      </c>
      <c r="P11" s="15" t="s">
        <v>87</v>
      </c>
      <c r="Q11" s="16" t="s">
        <v>88</v>
      </c>
      <c r="R11" s="19" t="n">
        <v>120</v>
      </c>
      <c r="S11" s="10" t="n">
        <f aca="false">R11-M11</f>
        <v>120</v>
      </c>
      <c r="T11" s="19" t="s">
        <v>89</v>
      </c>
      <c r="U11" s="19" t="n">
        <v>0</v>
      </c>
      <c r="V11" s="22" t="s">
        <v>90</v>
      </c>
      <c r="W11" s="20" t="s">
        <v>55</v>
      </c>
      <c r="X11" s="21" t="n">
        <f aca="false">$R11/4</f>
        <v>30</v>
      </c>
      <c r="Y11" s="21" t="n">
        <f aca="false">$R11/4</f>
        <v>30</v>
      </c>
      <c r="Z11" s="21" t="n">
        <f aca="false">$R11/4</f>
        <v>30</v>
      </c>
      <c r="AA11" s="21" t="n">
        <f aca="false">$R11/4</f>
        <v>30</v>
      </c>
    </row>
    <row r="12" customFormat="false" ht="84" hidden="false" customHeight="true" outlineLevel="0" collapsed="false">
      <c r="A12" s="10"/>
      <c r="B12" s="11" t="s">
        <v>72</v>
      </c>
      <c r="C12" s="11" t="s">
        <v>91</v>
      </c>
      <c r="D12" s="12" t="s">
        <v>80</v>
      </c>
      <c r="E12" s="10"/>
      <c r="F12" s="10" t="n">
        <v>38</v>
      </c>
      <c r="G12" s="20" t="s">
        <v>66</v>
      </c>
      <c r="H12" s="13" t="s">
        <v>67</v>
      </c>
      <c r="I12" s="14" t="s">
        <v>29</v>
      </c>
      <c r="J12" s="14" t="s">
        <v>92</v>
      </c>
      <c r="K12" s="15" t="s">
        <v>93</v>
      </c>
      <c r="L12" s="16" t="s">
        <v>94</v>
      </c>
      <c r="M12" s="20" t="n">
        <v>78000</v>
      </c>
      <c r="N12" s="17" t="s">
        <v>29</v>
      </c>
      <c r="O12" s="17" t="s">
        <v>92</v>
      </c>
      <c r="P12" s="18" t="s">
        <v>93</v>
      </c>
      <c r="Q12" s="18" t="s">
        <v>94</v>
      </c>
      <c r="R12" s="19" t="n">
        <v>78000</v>
      </c>
      <c r="S12" s="10" t="n">
        <f aca="false">R12-M12</f>
        <v>0</v>
      </c>
      <c r="T12" s="10"/>
      <c r="U12" s="19" t="n">
        <f aca="false">R12</f>
        <v>78000</v>
      </c>
      <c r="V12" s="12"/>
      <c r="W12" s="20" t="s">
        <v>36</v>
      </c>
      <c r="X12" s="10"/>
      <c r="Y12" s="21" t="n">
        <v>39000</v>
      </c>
      <c r="Z12" s="21" t="n">
        <v>39000</v>
      </c>
      <c r="AA12" s="10"/>
    </row>
    <row r="13" customFormat="false" ht="82.5" hidden="false" customHeight="true" outlineLevel="0" collapsed="false">
      <c r="A13" s="10"/>
      <c r="B13" s="11" t="s">
        <v>72</v>
      </c>
      <c r="C13" s="11" t="s">
        <v>79</v>
      </c>
      <c r="D13" s="12" t="s">
        <v>80</v>
      </c>
      <c r="E13" s="10"/>
      <c r="F13" s="10" t="n">
        <v>44</v>
      </c>
      <c r="G13" s="20" t="s">
        <v>66</v>
      </c>
      <c r="H13" s="13" t="s">
        <v>67</v>
      </c>
      <c r="I13" s="14" t="s">
        <v>29</v>
      </c>
      <c r="J13" s="14" t="s">
        <v>95</v>
      </c>
      <c r="K13" s="15" t="s">
        <v>82</v>
      </c>
      <c r="L13" s="16" t="s">
        <v>96</v>
      </c>
      <c r="M13" s="20" t="n">
        <v>1440</v>
      </c>
      <c r="N13" s="17" t="s">
        <v>29</v>
      </c>
      <c r="O13" s="17" t="s">
        <v>95</v>
      </c>
      <c r="P13" s="18" t="s">
        <v>82</v>
      </c>
      <c r="Q13" s="18" t="s">
        <v>97</v>
      </c>
      <c r="R13" s="19" t="n">
        <v>1120</v>
      </c>
      <c r="S13" s="10" t="n">
        <f aca="false">R13-M13</f>
        <v>-320</v>
      </c>
      <c r="T13" s="10"/>
      <c r="U13" s="19" t="n">
        <f aca="false">R13</f>
        <v>1120</v>
      </c>
      <c r="V13" s="12"/>
      <c r="W13" s="20" t="s">
        <v>55</v>
      </c>
      <c r="X13" s="21" t="n">
        <f aca="false">$R13/4</f>
        <v>280</v>
      </c>
      <c r="Y13" s="21" t="n">
        <f aca="false">$R13/4</f>
        <v>280</v>
      </c>
      <c r="Z13" s="21" t="n">
        <f aca="false">$R13/4</f>
        <v>280</v>
      </c>
      <c r="AA13" s="21" t="n">
        <f aca="false">$R13/4</f>
        <v>280</v>
      </c>
    </row>
    <row r="14" customFormat="false" ht="123" hidden="false" customHeight="true" outlineLevel="0" collapsed="false">
      <c r="A14" s="10"/>
      <c r="B14" s="11" t="s">
        <v>24</v>
      </c>
      <c r="C14" s="11" t="s">
        <v>98</v>
      </c>
      <c r="D14" s="12" t="s">
        <v>99</v>
      </c>
      <c r="E14" s="10"/>
      <c r="F14" s="10" t="n">
        <v>51</v>
      </c>
      <c r="G14" s="10" t="s">
        <v>66</v>
      </c>
      <c r="H14" s="12" t="s">
        <v>100</v>
      </c>
      <c r="I14" s="14" t="s">
        <v>29</v>
      </c>
      <c r="J14" s="14" t="s">
        <v>50</v>
      </c>
      <c r="K14" s="15" t="s">
        <v>101</v>
      </c>
      <c r="L14" s="16" t="s">
        <v>102</v>
      </c>
      <c r="M14" s="20" t="n">
        <v>2600</v>
      </c>
      <c r="N14" s="17" t="s">
        <v>29</v>
      </c>
      <c r="O14" s="17" t="s">
        <v>50</v>
      </c>
      <c r="P14" s="23" t="s">
        <v>103</v>
      </c>
      <c r="Q14" s="12"/>
      <c r="R14" s="19" t="n">
        <v>1500</v>
      </c>
      <c r="S14" s="10" t="n">
        <f aca="false">R14-M14</f>
        <v>-1100</v>
      </c>
      <c r="T14" s="10"/>
      <c r="U14" s="19" t="n">
        <f aca="false">R14</f>
        <v>1500</v>
      </c>
      <c r="V14" s="12"/>
      <c r="W14" s="20" t="s">
        <v>104</v>
      </c>
      <c r="X14" s="10"/>
      <c r="Y14" s="10"/>
      <c r="Z14" s="21" t="n">
        <v>1500</v>
      </c>
      <c r="AA14" s="10"/>
    </row>
    <row r="15" customFormat="false" ht="82.5" hidden="false" customHeight="true" outlineLevel="0" collapsed="false">
      <c r="A15" s="10"/>
      <c r="B15" s="11" t="s">
        <v>24</v>
      </c>
      <c r="C15" s="11" t="s">
        <v>105</v>
      </c>
      <c r="D15" s="12" t="s">
        <v>80</v>
      </c>
      <c r="E15" s="10"/>
      <c r="F15" s="10" t="n">
        <v>53</v>
      </c>
      <c r="G15" s="20" t="s">
        <v>66</v>
      </c>
      <c r="H15" s="13" t="s">
        <v>67</v>
      </c>
      <c r="I15" s="14" t="s">
        <v>29</v>
      </c>
      <c r="J15" s="14" t="s">
        <v>95</v>
      </c>
      <c r="K15" s="15" t="s">
        <v>106</v>
      </c>
      <c r="L15" s="16" t="s">
        <v>107</v>
      </c>
      <c r="M15" s="20" t="n">
        <v>2640</v>
      </c>
      <c r="N15" s="17" t="s">
        <v>29</v>
      </c>
      <c r="O15" s="17" t="s">
        <v>95</v>
      </c>
      <c r="P15" s="18" t="s">
        <v>106</v>
      </c>
      <c r="Q15" s="18" t="s">
        <v>108</v>
      </c>
      <c r="R15" s="19" t="n">
        <v>1000</v>
      </c>
      <c r="S15" s="10" t="n">
        <f aca="false">R15-M15</f>
        <v>-1640</v>
      </c>
      <c r="T15" s="10"/>
      <c r="U15" s="19" t="n">
        <f aca="false">R15</f>
        <v>1000</v>
      </c>
      <c r="V15" s="12"/>
      <c r="W15" s="20" t="s">
        <v>55</v>
      </c>
      <c r="X15" s="21" t="n">
        <f aca="false">$R15/4</f>
        <v>250</v>
      </c>
      <c r="Y15" s="21" t="n">
        <f aca="false">$R15/4</f>
        <v>250</v>
      </c>
      <c r="Z15" s="21" t="n">
        <f aca="false">$R15/4</f>
        <v>250</v>
      </c>
      <c r="AA15" s="21" t="n">
        <f aca="false">$R15/4</f>
        <v>250</v>
      </c>
    </row>
    <row r="16" customFormat="false" ht="153.75" hidden="false" customHeight="true" outlineLevel="0" collapsed="false">
      <c r="A16" s="10"/>
      <c r="B16" s="11" t="s">
        <v>24</v>
      </c>
      <c r="C16" s="11" t="s">
        <v>109</v>
      </c>
      <c r="D16" s="12" t="s">
        <v>38</v>
      </c>
      <c r="E16" s="10"/>
      <c r="F16" s="10" t="n">
        <v>54</v>
      </c>
      <c r="G16" s="10" t="s">
        <v>66</v>
      </c>
      <c r="H16" s="12" t="s">
        <v>110</v>
      </c>
      <c r="I16" s="14" t="s">
        <v>29</v>
      </c>
      <c r="J16" s="11" t="s">
        <v>81</v>
      </c>
      <c r="K16" s="12" t="s">
        <v>111</v>
      </c>
      <c r="L16" s="24" t="s">
        <v>112</v>
      </c>
      <c r="M16" s="20" t="n">
        <v>8600</v>
      </c>
      <c r="N16" s="17" t="s">
        <v>29</v>
      </c>
      <c r="O16" s="17" t="s">
        <v>81</v>
      </c>
      <c r="P16" s="18" t="s">
        <v>113</v>
      </c>
      <c r="Q16" s="18" t="s">
        <v>114</v>
      </c>
      <c r="R16" s="19" t="n">
        <v>3840</v>
      </c>
      <c r="S16" s="10" t="n">
        <f aca="false">R16-M16</f>
        <v>-4760</v>
      </c>
      <c r="T16" s="10"/>
      <c r="U16" s="19" t="n">
        <f aca="false">R16</f>
        <v>3840</v>
      </c>
      <c r="V16" s="12"/>
      <c r="W16" s="20" t="s">
        <v>55</v>
      </c>
      <c r="X16" s="21" t="n">
        <f aca="false">$R16/4</f>
        <v>960</v>
      </c>
      <c r="Y16" s="21" t="n">
        <f aca="false">$R16/4</f>
        <v>960</v>
      </c>
      <c r="Z16" s="21" t="n">
        <f aca="false">$R16/4</f>
        <v>960</v>
      </c>
      <c r="AA16" s="21" t="n">
        <f aca="false">$R16/4</f>
        <v>960</v>
      </c>
    </row>
    <row r="17" customFormat="false" ht="70.5" hidden="false" customHeight="true" outlineLevel="0" collapsed="false">
      <c r="A17" s="10"/>
      <c r="B17" s="11" t="s">
        <v>72</v>
      </c>
      <c r="C17" s="11" t="s">
        <v>64</v>
      </c>
      <c r="D17" s="12" t="s">
        <v>65</v>
      </c>
      <c r="E17" s="10"/>
      <c r="F17" s="10" t="n">
        <v>63</v>
      </c>
      <c r="G17" s="10" t="s">
        <v>66</v>
      </c>
      <c r="H17" s="12"/>
      <c r="I17" s="10"/>
      <c r="J17" s="10"/>
      <c r="K17" s="12"/>
      <c r="L17" s="12"/>
      <c r="M17" s="10"/>
      <c r="N17" s="10"/>
      <c r="O17" s="10"/>
      <c r="P17" s="23" t="s">
        <v>115</v>
      </c>
      <c r="Q17" s="18" t="s">
        <v>116</v>
      </c>
      <c r="R17" s="19" t="n">
        <f aca="false">8400*576*2*203/1000</f>
        <v>1964390.4</v>
      </c>
      <c r="S17" s="10" t="n">
        <f aca="false">R17-M17</f>
        <v>1964390.4</v>
      </c>
      <c r="T17" s="10"/>
      <c r="U17" s="10"/>
      <c r="V17" s="12"/>
      <c r="W17" s="10"/>
      <c r="X17" s="10"/>
      <c r="Y17" s="10"/>
      <c r="Z17" s="10"/>
      <c r="AA17" s="10"/>
    </row>
    <row r="18" customFormat="false" ht="70.5" hidden="false" customHeight="true" outlineLevel="0" collapsed="false">
      <c r="A18" s="10"/>
      <c r="B18" s="11" t="s">
        <v>72</v>
      </c>
      <c r="C18" s="11" t="s">
        <v>117</v>
      </c>
      <c r="D18" s="12" t="s">
        <v>118</v>
      </c>
      <c r="E18" s="10"/>
      <c r="F18" s="10" t="n">
        <v>64</v>
      </c>
      <c r="G18" s="10" t="s">
        <v>66</v>
      </c>
      <c r="H18" s="12"/>
      <c r="I18" s="10"/>
      <c r="J18" s="10"/>
      <c r="K18" s="12"/>
      <c r="L18" s="12"/>
      <c r="M18" s="10"/>
      <c r="N18" s="10"/>
      <c r="O18" s="10"/>
      <c r="P18" s="23" t="s">
        <v>119</v>
      </c>
      <c r="Q18" s="18" t="s">
        <v>120</v>
      </c>
      <c r="R18" s="19" t="n">
        <f aca="false">10000*576*203/1000</f>
        <v>1169280</v>
      </c>
      <c r="S18" s="10" t="n">
        <f aca="false">R18-M18</f>
        <v>1169280</v>
      </c>
      <c r="T18" s="10"/>
      <c r="U18" s="10"/>
      <c r="V18" s="12"/>
      <c r="W18" s="10"/>
      <c r="X18" s="10"/>
      <c r="Y18" s="10"/>
      <c r="Z18" s="10"/>
      <c r="AA18" s="10"/>
    </row>
    <row r="19" customFormat="false" ht="111.75" hidden="false" customHeight="true" outlineLevel="0" collapsed="false">
      <c r="A19" s="10"/>
      <c r="B19" s="11" t="s">
        <v>24</v>
      </c>
      <c r="C19" s="10" t="s">
        <v>121</v>
      </c>
      <c r="D19" s="12" t="s">
        <v>122</v>
      </c>
      <c r="E19" s="10"/>
      <c r="F19" s="10" t="n">
        <v>14</v>
      </c>
      <c r="G19" s="20" t="s">
        <v>123</v>
      </c>
      <c r="H19" s="15" t="s">
        <v>124</v>
      </c>
      <c r="I19" s="14" t="s">
        <v>29</v>
      </c>
      <c r="J19" s="14" t="s">
        <v>95</v>
      </c>
      <c r="K19" s="15" t="s">
        <v>125</v>
      </c>
      <c r="L19" s="16" t="s">
        <v>126</v>
      </c>
      <c r="M19" s="20" t="n">
        <v>252</v>
      </c>
      <c r="N19" s="17" t="s">
        <v>29</v>
      </c>
      <c r="O19" s="14" t="s">
        <v>95</v>
      </c>
      <c r="P19" s="15" t="s">
        <v>125</v>
      </c>
      <c r="Q19" s="16" t="s">
        <v>127</v>
      </c>
      <c r="R19" s="19" t="n">
        <v>840</v>
      </c>
      <c r="S19" s="10" t="n">
        <f aca="false">R19-M19</f>
        <v>588</v>
      </c>
      <c r="T19" s="10"/>
      <c r="U19" s="19" t="n">
        <f aca="false">R19</f>
        <v>840</v>
      </c>
      <c r="V19" s="12"/>
      <c r="W19" s="20" t="s">
        <v>128</v>
      </c>
      <c r="X19" s="10"/>
      <c r="Y19" s="10"/>
      <c r="Z19" s="10"/>
      <c r="AA19" s="20" t="n">
        <v>840</v>
      </c>
    </row>
    <row r="20" customFormat="false" ht="70.5" hidden="false" customHeight="true" outlineLevel="0" collapsed="false">
      <c r="A20" s="10"/>
      <c r="B20" s="11" t="s">
        <v>72</v>
      </c>
      <c r="C20" s="10" t="s">
        <v>129</v>
      </c>
      <c r="D20" s="12"/>
      <c r="E20" s="10"/>
      <c r="F20" s="10" t="n">
        <v>47</v>
      </c>
      <c r="G20" s="10" t="s">
        <v>123</v>
      </c>
      <c r="H20" s="12"/>
      <c r="I20" s="10"/>
      <c r="J20" s="10"/>
      <c r="K20" s="12"/>
      <c r="L20" s="12"/>
      <c r="M20" s="10"/>
      <c r="N20" s="10"/>
      <c r="O20" s="10"/>
      <c r="P20" s="18" t="s">
        <v>130</v>
      </c>
      <c r="Q20" s="12"/>
      <c r="R20" s="10"/>
      <c r="S20" s="10" t="n">
        <f aca="false">R20-M20</f>
        <v>0</v>
      </c>
      <c r="T20" s="10"/>
      <c r="U20" s="10"/>
      <c r="V20" s="12"/>
      <c r="W20" s="10"/>
      <c r="X20" s="10"/>
      <c r="Y20" s="10"/>
      <c r="Z20" s="10"/>
      <c r="AA20" s="10"/>
    </row>
    <row r="21" customFormat="false" ht="96" hidden="false" customHeight="true" outlineLevel="0" collapsed="false">
      <c r="A21" s="10"/>
      <c r="B21" s="11" t="s">
        <v>72</v>
      </c>
      <c r="C21" s="11" t="s">
        <v>131</v>
      </c>
      <c r="D21" s="12" t="s">
        <v>132</v>
      </c>
      <c r="E21" s="10"/>
      <c r="F21" s="10" t="n">
        <v>48</v>
      </c>
      <c r="G21" s="10" t="s">
        <v>123</v>
      </c>
      <c r="H21" s="12"/>
      <c r="I21" s="10"/>
      <c r="J21" s="10"/>
      <c r="K21" s="12"/>
      <c r="L21" s="12"/>
      <c r="M21" s="10"/>
      <c r="N21" s="10"/>
      <c r="O21" s="10"/>
      <c r="P21" s="23" t="s">
        <v>133</v>
      </c>
      <c r="Q21" s="12"/>
      <c r="R21" s="10"/>
      <c r="S21" s="10" t="n">
        <f aca="false">R21-M21</f>
        <v>0</v>
      </c>
      <c r="T21" s="10"/>
      <c r="U21" s="10"/>
      <c r="V21" s="12"/>
      <c r="W21" s="10"/>
      <c r="X21" s="10"/>
      <c r="Y21" s="10"/>
      <c r="Z21" s="10"/>
      <c r="AA21" s="10"/>
    </row>
    <row r="22" customFormat="false" ht="109.5" hidden="false" customHeight="true" outlineLevel="0" collapsed="false">
      <c r="A22" s="10"/>
      <c r="B22" s="11" t="s">
        <v>134</v>
      </c>
      <c r="C22" s="11" t="s">
        <v>135</v>
      </c>
      <c r="D22" s="12"/>
      <c r="E22" s="10"/>
      <c r="F22" s="10" t="n">
        <v>3</v>
      </c>
      <c r="G22" s="21" t="s">
        <v>136</v>
      </c>
      <c r="H22" s="13" t="s">
        <v>137</v>
      </c>
      <c r="I22" s="14" t="s">
        <v>40</v>
      </c>
      <c r="J22" s="14" t="s">
        <v>138</v>
      </c>
      <c r="K22" s="12"/>
      <c r="L22" s="12"/>
      <c r="M22" s="10"/>
      <c r="N22" s="14" t="s">
        <v>40</v>
      </c>
      <c r="O22" s="14" t="s">
        <v>138</v>
      </c>
      <c r="P22" s="12" t="s">
        <v>139</v>
      </c>
      <c r="Q22" s="16" t="s">
        <v>140</v>
      </c>
      <c r="R22" s="17" t="n">
        <v>100000</v>
      </c>
      <c r="S22" s="10" t="n">
        <f aca="false">R22-M22</f>
        <v>100000</v>
      </c>
      <c r="T22" s="17"/>
      <c r="U22" s="10" t="n">
        <v>100000</v>
      </c>
      <c r="V22" s="22" t="s">
        <v>141</v>
      </c>
      <c r="W22" s="20" t="s">
        <v>55</v>
      </c>
      <c r="X22" s="10"/>
      <c r="Y22" s="10"/>
      <c r="Z22" s="10"/>
      <c r="AA22" s="20" t="n">
        <v>100000</v>
      </c>
    </row>
    <row r="23" customFormat="false" ht="109.5" hidden="false" customHeight="true" outlineLevel="0" collapsed="false">
      <c r="A23" s="10"/>
      <c r="B23" s="11" t="s">
        <v>134</v>
      </c>
      <c r="C23" s="10" t="s">
        <v>142</v>
      </c>
      <c r="D23" s="12"/>
      <c r="E23" s="10"/>
      <c r="F23" s="10" t="n">
        <v>4</v>
      </c>
      <c r="G23" s="21" t="s">
        <v>136</v>
      </c>
      <c r="H23" s="13" t="s">
        <v>137</v>
      </c>
      <c r="I23" s="14" t="s">
        <v>40</v>
      </c>
      <c r="J23" s="14" t="s">
        <v>143</v>
      </c>
      <c r="K23" s="12"/>
      <c r="L23" s="12"/>
      <c r="M23" s="10"/>
      <c r="N23" s="14" t="s">
        <v>40</v>
      </c>
      <c r="O23" s="14" t="s">
        <v>143</v>
      </c>
      <c r="P23" s="12" t="s">
        <v>144</v>
      </c>
      <c r="Q23" s="16" t="s">
        <v>145</v>
      </c>
      <c r="R23" s="17" t="n">
        <v>50000</v>
      </c>
      <c r="S23" s="10" t="n">
        <f aca="false">R23-M23</f>
        <v>50000</v>
      </c>
      <c r="T23" s="17"/>
      <c r="U23" s="10" t="n">
        <v>50000</v>
      </c>
      <c r="V23" s="22" t="s">
        <v>146</v>
      </c>
      <c r="W23" s="20" t="s">
        <v>36</v>
      </c>
      <c r="X23" s="10"/>
      <c r="Y23" s="10"/>
      <c r="Z23" s="20" t="n">
        <v>50000</v>
      </c>
      <c r="AA23" s="10"/>
    </row>
    <row r="24" customFormat="false" ht="81.75" hidden="false" customHeight="true" outlineLevel="0" collapsed="false">
      <c r="A24" s="10"/>
      <c r="B24" s="11" t="s">
        <v>72</v>
      </c>
      <c r="C24" s="11" t="s">
        <v>147</v>
      </c>
      <c r="D24" s="12"/>
      <c r="E24" s="10"/>
      <c r="F24" s="10" t="n">
        <v>38</v>
      </c>
      <c r="G24" s="10" t="s">
        <v>136</v>
      </c>
      <c r="H24" s="12"/>
      <c r="I24" s="10"/>
      <c r="J24" s="10"/>
      <c r="K24" s="12"/>
      <c r="L24" s="12"/>
      <c r="M24" s="10"/>
      <c r="N24" s="10"/>
      <c r="O24" s="10"/>
      <c r="P24" s="23" t="s">
        <v>148</v>
      </c>
      <c r="Q24" s="12"/>
      <c r="R24" s="10"/>
      <c r="S24" s="10" t="n">
        <f aca="false">R24-M24</f>
        <v>0</v>
      </c>
      <c r="T24" s="10"/>
      <c r="U24" s="10"/>
      <c r="V24" s="12"/>
      <c r="W24" s="10"/>
      <c r="X24" s="10"/>
      <c r="Y24" s="10"/>
      <c r="Z24" s="10"/>
      <c r="AA24" s="10"/>
    </row>
    <row r="25" customFormat="false" ht="84" hidden="false" customHeight="true" outlineLevel="0" collapsed="false">
      <c r="A25" s="10"/>
      <c r="B25" s="11" t="s">
        <v>72</v>
      </c>
      <c r="C25" s="11" t="s">
        <v>149</v>
      </c>
      <c r="D25" s="12" t="s">
        <v>150</v>
      </c>
      <c r="E25" s="10"/>
      <c r="F25" s="10" t="n">
        <v>39</v>
      </c>
      <c r="G25" s="10" t="s">
        <v>136</v>
      </c>
      <c r="H25" s="12"/>
      <c r="I25" s="10"/>
      <c r="J25" s="10"/>
      <c r="K25" s="12"/>
      <c r="L25" s="12"/>
      <c r="M25" s="10"/>
      <c r="N25" s="10"/>
      <c r="O25" s="10"/>
      <c r="P25" s="23" t="s">
        <v>151</v>
      </c>
      <c r="Q25" s="12"/>
      <c r="R25" s="10"/>
      <c r="S25" s="10" t="n">
        <f aca="false">R25-M25</f>
        <v>0</v>
      </c>
      <c r="T25" s="10"/>
      <c r="U25" s="10"/>
      <c r="V25" s="12"/>
      <c r="W25" s="10"/>
      <c r="X25" s="10"/>
      <c r="Y25" s="10"/>
      <c r="Z25" s="10"/>
      <c r="AA25" s="10"/>
    </row>
    <row r="26" customFormat="false" ht="97.5" hidden="false" customHeight="true" outlineLevel="0" collapsed="false">
      <c r="A26" s="10"/>
      <c r="B26" s="11" t="s">
        <v>72</v>
      </c>
      <c r="C26" s="11" t="s">
        <v>152</v>
      </c>
      <c r="D26" s="12"/>
      <c r="E26" s="10"/>
      <c r="F26" s="10" t="n">
        <v>29</v>
      </c>
      <c r="G26" s="10" t="s">
        <v>153</v>
      </c>
      <c r="H26" s="12"/>
      <c r="I26" s="10"/>
      <c r="J26" s="10"/>
      <c r="K26" s="25" t="s">
        <v>154</v>
      </c>
      <c r="L26" s="12"/>
      <c r="M26" s="10"/>
      <c r="N26" s="10"/>
      <c r="O26" s="10"/>
      <c r="P26" s="12"/>
      <c r="Q26" s="12"/>
      <c r="R26" s="10"/>
      <c r="S26" s="10" t="n">
        <f aca="false">R26-M26</f>
        <v>0</v>
      </c>
      <c r="T26" s="10"/>
      <c r="U26" s="10"/>
      <c r="V26" s="12"/>
      <c r="W26" s="10"/>
      <c r="X26" s="10"/>
      <c r="Y26" s="10"/>
      <c r="Z26" s="10"/>
      <c r="AA26" s="10"/>
    </row>
    <row r="27" customFormat="false" ht="84" hidden="false" customHeight="true" outlineLevel="0" collapsed="false">
      <c r="A27" s="10"/>
      <c r="B27" s="11" t="s">
        <v>72</v>
      </c>
      <c r="C27" s="11" t="s">
        <v>149</v>
      </c>
      <c r="D27" s="12" t="s">
        <v>150</v>
      </c>
      <c r="E27" s="10"/>
      <c r="F27" s="10" t="n">
        <v>30</v>
      </c>
      <c r="G27" s="10" t="s">
        <v>153</v>
      </c>
      <c r="H27" s="12"/>
      <c r="I27" s="10"/>
      <c r="J27" s="10"/>
      <c r="K27" s="23" t="s">
        <v>151</v>
      </c>
      <c r="L27" s="12"/>
      <c r="M27" s="10"/>
      <c r="N27" s="10"/>
      <c r="O27" s="10"/>
      <c r="P27" s="12"/>
      <c r="Q27" s="12"/>
      <c r="R27" s="10"/>
      <c r="S27" s="10" t="n">
        <f aca="false">R27-M27</f>
        <v>0</v>
      </c>
      <c r="T27" s="10"/>
      <c r="U27" s="10"/>
      <c r="V27" s="12"/>
      <c r="W27" s="10"/>
      <c r="X27" s="10"/>
      <c r="Y27" s="10"/>
      <c r="Z27" s="10"/>
      <c r="AA27" s="10"/>
    </row>
    <row r="28" customFormat="false" ht="96" hidden="false" customHeight="true" outlineLevel="0" collapsed="false">
      <c r="A28" s="10"/>
      <c r="B28" s="11" t="s">
        <v>134</v>
      </c>
      <c r="C28" s="11" t="s">
        <v>91</v>
      </c>
      <c r="D28" s="12"/>
      <c r="E28" s="10"/>
      <c r="F28" s="10" t="n">
        <v>5</v>
      </c>
      <c r="G28" s="10" t="s">
        <v>155</v>
      </c>
      <c r="H28" s="12" t="s">
        <v>156</v>
      </c>
      <c r="I28" s="14" t="s">
        <v>29</v>
      </c>
      <c r="J28" s="11" t="s">
        <v>92</v>
      </c>
      <c r="K28" s="12" t="s">
        <v>157</v>
      </c>
      <c r="L28" s="16" t="s">
        <v>158</v>
      </c>
      <c r="M28" s="20" t="n">
        <v>5000</v>
      </c>
      <c r="N28" s="17" t="s">
        <v>29</v>
      </c>
      <c r="O28" s="17" t="s">
        <v>92</v>
      </c>
      <c r="P28" s="18" t="s">
        <v>157</v>
      </c>
      <c r="Q28" s="18" t="s">
        <v>159</v>
      </c>
      <c r="R28" s="19" t="n">
        <v>11060</v>
      </c>
      <c r="S28" s="10" t="n">
        <f aca="false">R28-M28</f>
        <v>6060</v>
      </c>
      <c r="T28" s="10"/>
      <c r="U28" s="19" t="n">
        <v>11060</v>
      </c>
      <c r="V28" s="22" t="s">
        <v>160</v>
      </c>
      <c r="W28" s="20" t="s">
        <v>55</v>
      </c>
      <c r="X28" s="21" t="n">
        <v>2000</v>
      </c>
      <c r="Y28" s="21" t="n">
        <v>5060</v>
      </c>
      <c r="Z28" s="21" t="n">
        <v>2000</v>
      </c>
      <c r="AA28" s="21" t="n">
        <v>2000</v>
      </c>
    </row>
    <row r="29" customFormat="false" ht="96" hidden="false" customHeight="true" outlineLevel="0" collapsed="false">
      <c r="A29" s="10"/>
      <c r="B29" s="11" t="s">
        <v>134</v>
      </c>
      <c r="C29" s="11" t="s">
        <v>161</v>
      </c>
      <c r="D29" s="12"/>
      <c r="E29" s="10"/>
      <c r="F29" s="10" t="n">
        <v>7</v>
      </c>
      <c r="G29" s="10" t="s">
        <v>155</v>
      </c>
      <c r="H29" s="12" t="s">
        <v>156</v>
      </c>
      <c r="I29" s="14" t="s">
        <v>29</v>
      </c>
      <c r="J29" s="11" t="s">
        <v>95</v>
      </c>
      <c r="K29" s="12" t="s">
        <v>162</v>
      </c>
      <c r="L29" s="24" t="s">
        <v>163</v>
      </c>
      <c r="M29" s="20" t="n">
        <v>6000</v>
      </c>
      <c r="N29" s="17" t="s">
        <v>29</v>
      </c>
      <c r="O29" s="17" t="s">
        <v>95</v>
      </c>
      <c r="P29" s="18" t="s">
        <v>162</v>
      </c>
      <c r="Q29" s="18" t="s">
        <v>164</v>
      </c>
      <c r="R29" s="19" t="n">
        <v>10800</v>
      </c>
      <c r="S29" s="10" t="n">
        <f aca="false">R29-M29</f>
        <v>4800</v>
      </c>
      <c r="T29" s="10"/>
      <c r="U29" s="19" t="n">
        <v>10800</v>
      </c>
      <c r="V29" s="22" t="s">
        <v>160</v>
      </c>
      <c r="W29" s="20" t="s">
        <v>55</v>
      </c>
      <c r="X29" s="21" t="n">
        <v>0</v>
      </c>
      <c r="Y29" s="21" t="n">
        <v>1100</v>
      </c>
      <c r="Z29" s="21" t="n">
        <v>0</v>
      </c>
      <c r="AA29" s="21" t="n">
        <v>1100</v>
      </c>
    </row>
    <row r="30" customFormat="false" ht="96" hidden="false" customHeight="true" outlineLevel="0" collapsed="false">
      <c r="A30" s="10"/>
      <c r="B30" s="11" t="s">
        <v>134</v>
      </c>
      <c r="C30" s="11" t="s">
        <v>165</v>
      </c>
      <c r="D30" s="12"/>
      <c r="E30" s="10"/>
      <c r="F30" s="10" t="n">
        <v>27</v>
      </c>
      <c r="G30" s="10" t="s">
        <v>155</v>
      </c>
      <c r="H30" s="12" t="s">
        <v>156</v>
      </c>
      <c r="I30" s="14" t="s">
        <v>29</v>
      </c>
      <c r="J30" s="11" t="s">
        <v>60</v>
      </c>
      <c r="K30" s="12" t="s">
        <v>166</v>
      </c>
      <c r="L30" s="16" t="s">
        <v>167</v>
      </c>
      <c r="M30" s="20" t="n">
        <v>2500</v>
      </c>
      <c r="N30" s="17" t="s">
        <v>29</v>
      </c>
      <c r="O30" s="17" t="s">
        <v>60</v>
      </c>
      <c r="P30" s="18" t="s">
        <v>166</v>
      </c>
      <c r="Q30" s="18" t="s">
        <v>167</v>
      </c>
      <c r="R30" s="19" t="n">
        <v>2500</v>
      </c>
      <c r="S30" s="10" t="n">
        <f aca="false">R30-M30</f>
        <v>0</v>
      </c>
      <c r="T30" s="10"/>
      <c r="U30" s="19" t="n">
        <v>2500</v>
      </c>
      <c r="V30" s="22" t="s">
        <v>160</v>
      </c>
      <c r="W30" s="20" t="s">
        <v>55</v>
      </c>
      <c r="X30" s="21" t="n">
        <v>400</v>
      </c>
      <c r="Y30" s="21" t="n">
        <v>500</v>
      </c>
      <c r="Z30" s="21" t="n">
        <v>450</v>
      </c>
      <c r="AA30" s="21" t="n">
        <v>450</v>
      </c>
    </row>
    <row r="31" customFormat="false" ht="54.75" hidden="false" customHeight="true" outlineLevel="0" collapsed="false">
      <c r="A31" s="10"/>
      <c r="B31" s="11" t="s">
        <v>72</v>
      </c>
      <c r="C31" s="11" t="s">
        <v>168</v>
      </c>
      <c r="D31" s="12"/>
      <c r="E31" s="10"/>
      <c r="F31" s="10" t="n">
        <v>34</v>
      </c>
      <c r="G31" s="10" t="s">
        <v>155</v>
      </c>
      <c r="H31" s="12"/>
      <c r="I31" s="10"/>
      <c r="J31" s="10"/>
      <c r="K31" s="12"/>
      <c r="L31" s="12"/>
      <c r="M31" s="10"/>
      <c r="N31" s="10"/>
      <c r="O31" s="10"/>
      <c r="P31" s="26" t="s">
        <v>169</v>
      </c>
      <c r="Q31" s="12"/>
      <c r="R31" s="10"/>
      <c r="S31" s="10" t="n">
        <f aca="false">R31-M31</f>
        <v>0</v>
      </c>
      <c r="T31" s="10"/>
      <c r="U31" s="10"/>
      <c r="V31" s="12"/>
      <c r="W31" s="10"/>
      <c r="X31" s="10"/>
      <c r="Y31" s="10"/>
      <c r="Z31" s="10"/>
      <c r="AA31" s="10"/>
    </row>
    <row r="32" customFormat="false" ht="41.25" hidden="false" customHeight="true" outlineLevel="0" collapsed="false">
      <c r="A32" s="10"/>
      <c r="B32" s="11" t="s">
        <v>72</v>
      </c>
      <c r="C32" s="11" t="s">
        <v>170</v>
      </c>
      <c r="D32" s="12"/>
      <c r="E32" s="10"/>
      <c r="F32" s="10" t="n">
        <v>35</v>
      </c>
      <c r="G32" s="10" t="s">
        <v>155</v>
      </c>
      <c r="H32" s="12"/>
      <c r="I32" s="10"/>
      <c r="J32" s="10"/>
      <c r="K32" s="12"/>
      <c r="L32" s="12"/>
      <c r="M32" s="10"/>
      <c r="N32" s="10"/>
      <c r="O32" s="10"/>
      <c r="P32" s="26" t="s">
        <v>171</v>
      </c>
      <c r="Q32" s="12"/>
      <c r="R32" s="10"/>
      <c r="S32" s="10" t="n">
        <f aca="false">R32-M32</f>
        <v>0</v>
      </c>
      <c r="T32" s="10"/>
      <c r="U32" s="10"/>
      <c r="V32" s="12"/>
      <c r="W32" s="10"/>
      <c r="X32" s="10"/>
      <c r="Y32" s="10"/>
      <c r="Z32" s="10"/>
      <c r="AA32" s="10"/>
    </row>
    <row r="33" customFormat="false" ht="84" hidden="false" customHeight="true" outlineLevel="0" collapsed="false">
      <c r="A33" s="10"/>
      <c r="B33" s="11" t="s">
        <v>72</v>
      </c>
      <c r="C33" s="11" t="s">
        <v>149</v>
      </c>
      <c r="D33" s="12" t="s">
        <v>150</v>
      </c>
      <c r="E33" s="10"/>
      <c r="F33" s="10" t="n">
        <v>36</v>
      </c>
      <c r="G33" s="10" t="s">
        <v>155</v>
      </c>
      <c r="H33" s="12"/>
      <c r="I33" s="10"/>
      <c r="J33" s="10"/>
      <c r="K33" s="12"/>
      <c r="L33" s="12"/>
      <c r="M33" s="10"/>
      <c r="N33" s="10"/>
      <c r="O33" s="10"/>
      <c r="P33" s="26" t="s">
        <v>172</v>
      </c>
      <c r="Q33" s="12"/>
      <c r="R33" s="10"/>
      <c r="S33" s="10" t="n">
        <f aca="false">R33-M33</f>
        <v>0</v>
      </c>
      <c r="T33" s="10"/>
      <c r="U33" s="10"/>
      <c r="V33" s="12"/>
      <c r="W33" s="10"/>
      <c r="X33" s="10"/>
      <c r="Y33" s="10"/>
      <c r="Z33" s="10"/>
      <c r="AA33" s="10"/>
    </row>
    <row r="34" customFormat="false" ht="150" hidden="false" customHeight="true" outlineLevel="0" collapsed="false">
      <c r="A34" s="10"/>
      <c r="B34" s="11" t="s">
        <v>134</v>
      </c>
      <c r="C34" s="11" t="s">
        <v>173</v>
      </c>
      <c r="D34" s="12"/>
      <c r="E34" s="10"/>
      <c r="F34" s="10" t="n">
        <v>7</v>
      </c>
      <c r="G34" s="10" t="s">
        <v>174</v>
      </c>
      <c r="H34" s="12" t="s">
        <v>175</v>
      </c>
      <c r="I34" s="14" t="s">
        <v>29</v>
      </c>
      <c r="J34" s="14" t="s">
        <v>60</v>
      </c>
      <c r="K34" s="12" t="s">
        <v>176</v>
      </c>
      <c r="L34" s="16" t="s">
        <v>177</v>
      </c>
      <c r="M34" s="20" t="n">
        <v>2000</v>
      </c>
      <c r="N34" s="17" t="s">
        <v>29</v>
      </c>
      <c r="O34" s="17" t="s">
        <v>60</v>
      </c>
      <c r="P34" s="18" t="s">
        <v>176</v>
      </c>
      <c r="Q34" s="18" t="s">
        <v>178</v>
      </c>
      <c r="R34" s="19" t="n">
        <v>4000</v>
      </c>
      <c r="S34" s="10" t="n">
        <f aca="false">R34-M34</f>
        <v>2000</v>
      </c>
      <c r="T34" s="10"/>
      <c r="U34" s="19" t="n">
        <v>4000</v>
      </c>
      <c r="V34" s="13" t="s">
        <v>179</v>
      </c>
      <c r="W34" s="20" t="s">
        <v>180</v>
      </c>
      <c r="X34" s="21" t="n">
        <v>2000</v>
      </c>
      <c r="Y34" s="10"/>
      <c r="Z34" s="21" t="n">
        <v>2000</v>
      </c>
      <c r="AA34" s="10"/>
    </row>
    <row r="35" customFormat="false" ht="150.75" hidden="false" customHeight="true" outlineLevel="0" collapsed="false">
      <c r="A35" s="10"/>
      <c r="B35" s="11" t="s">
        <v>181</v>
      </c>
      <c r="C35" s="11" t="s">
        <v>182</v>
      </c>
      <c r="D35" s="12"/>
      <c r="E35" s="10"/>
      <c r="F35" s="10" t="n">
        <v>34</v>
      </c>
      <c r="G35" s="10" t="s">
        <v>174</v>
      </c>
      <c r="H35" s="12" t="s">
        <v>183</v>
      </c>
      <c r="I35" s="14" t="s">
        <v>29</v>
      </c>
      <c r="J35" s="14" t="s">
        <v>30</v>
      </c>
      <c r="K35" s="12" t="s">
        <v>184</v>
      </c>
      <c r="L35" s="16" t="s">
        <v>185</v>
      </c>
      <c r="M35" s="20" t="n">
        <v>120</v>
      </c>
      <c r="N35" s="17" t="s">
        <v>29</v>
      </c>
      <c r="O35" s="17" t="s">
        <v>30</v>
      </c>
      <c r="P35" s="18" t="s">
        <v>184</v>
      </c>
      <c r="Q35" s="18" t="s">
        <v>185</v>
      </c>
      <c r="R35" s="19" t="n">
        <v>120</v>
      </c>
      <c r="S35" s="10" t="n">
        <f aca="false">R35-M35</f>
        <v>0</v>
      </c>
      <c r="T35" s="10"/>
      <c r="U35" s="19" t="n">
        <v>120</v>
      </c>
      <c r="V35" s="12"/>
      <c r="W35" s="20" t="s">
        <v>55</v>
      </c>
      <c r="X35" s="10"/>
      <c r="Y35" s="21" t="n">
        <v>60</v>
      </c>
      <c r="Z35" s="21" t="n">
        <v>60</v>
      </c>
      <c r="AA35" s="10"/>
    </row>
    <row r="36" customFormat="false" ht="108.75" hidden="false" customHeight="true" outlineLevel="0" collapsed="false">
      <c r="A36" s="10"/>
      <c r="B36" s="11" t="s">
        <v>72</v>
      </c>
      <c r="C36" s="11" t="s">
        <v>186</v>
      </c>
      <c r="D36" s="12"/>
      <c r="E36" s="10"/>
      <c r="F36" s="10" t="n">
        <v>55</v>
      </c>
      <c r="G36" s="10" t="s">
        <v>174</v>
      </c>
      <c r="H36" s="12"/>
      <c r="I36" s="10"/>
      <c r="J36" s="10"/>
      <c r="K36" s="12"/>
      <c r="L36" s="12"/>
      <c r="M36" s="10"/>
      <c r="N36" s="10"/>
      <c r="O36" s="10"/>
      <c r="P36" s="23" t="s">
        <v>187</v>
      </c>
      <c r="Q36" s="12"/>
      <c r="R36" s="10"/>
      <c r="S36" s="10" t="n">
        <f aca="false">R36-M36</f>
        <v>0</v>
      </c>
      <c r="T36" s="10"/>
      <c r="U36" s="10"/>
      <c r="V36" s="12"/>
      <c r="W36" s="10"/>
      <c r="X36" s="10"/>
      <c r="Y36" s="10"/>
      <c r="Z36" s="10"/>
      <c r="AA36" s="10"/>
    </row>
    <row r="37" customFormat="false" ht="111" hidden="false" customHeight="true" outlineLevel="0" collapsed="false">
      <c r="A37" s="10"/>
      <c r="B37" s="11" t="s">
        <v>72</v>
      </c>
      <c r="C37" s="11" t="s">
        <v>188</v>
      </c>
      <c r="D37" s="12" t="s">
        <v>189</v>
      </c>
      <c r="E37" s="10"/>
      <c r="F37" s="10" t="n">
        <v>11</v>
      </c>
      <c r="G37" s="21" t="s">
        <v>190</v>
      </c>
      <c r="H37" s="13" t="s">
        <v>191</v>
      </c>
      <c r="I37" s="14" t="s">
        <v>33</v>
      </c>
      <c r="J37" s="14" t="s">
        <v>95</v>
      </c>
      <c r="K37" s="12" t="s">
        <v>192</v>
      </c>
      <c r="L37" s="16" t="s">
        <v>193</v>
      </c>
      <c r="M37" s="20" t="n">
        <v>7200</v>
      </c>
      <c r="N37" s="17" t="s">
        <v>33</v>
      </c>
      <c r="O37" s="17" t="s">
        <v>95</v>
      </c>
      <c r="P37" s="18" t="s">
        <v>192</v>
      </c>
      <c r="Q37" s="18" t="s">
        <v>194</v>
      </c>
      <c r="R37" s="19" t="n">
        <v>7200</v>
      </c>
      <c r="S37" s="10" t="n">
        <f aca="false">R37-M37</f>
        <v>0</v>
      </c>
      <c r="T37" s="10"/>
      <c r="U37" s="10"/>
      <c r="V37" s="12"/>
      <c r="W37" s="20" t="s">
        <v>55</v>
      </c>
      <c r="X37" s="21" t="n">
        <v>1200</v>
      </c>
      <c r="Y37" s="21" t="n">
        <v>2000</v>
      </c>
      <c r="Z37" s="21" t="n">
        <v>2000</v>
      </c>
      <c r="AA37" s="21" t="n">
        <v>2000</v>
      </c>
    </row>
    <row r="38" customFormat="false" ht="111" hidden="false" customHeight="true" outlineLevel="0" collapsed="false">
      <c r="A38" s="10"/>
      <c r="B38" s="11" t="s">
        <v>72</v>
      </c>
      <c r="C38" s="11" t="s">
        <v>195</v>
      </c>
      <c r="D38" s="12" t="s">
        <v>189</v>
      </c>
      <c r="E38" s="10"/>
      <c r="F38" s="10" t="n">
        <v>12</v>
      </c>
      <c r="G38" s="21" t="s">
        <v>190</v>
      </c>
      <c r="H38" s="13" t="s">
        <v>191</v>
      </c>
      <c r="I38" s="14" t="s">
        <v>33</v>
      </c>
      <c r="J38" s="14" t="s">
        <v>95</v>
      </c>
      <c r="K38" s="12" t="s">
        <v>196</v>
      </c>
      <c r="L38" s="16" t="s">
        <v>193</v>
      </c>
      <c r="M38" s="20" t="n">
        <v>4800</v>
      </c>
      <c r="N38" s="17" t="s">
        <v>33</v>
      </c>
      <c r="O38" s="17" t="s">
        <v>95</v>
      </c>
      <c r="P38" s="18" t="s">
        <v>196</v>
      </c>
      <c r="Q38" s="18" t="s">
        <v>197</v>
      </c>
      <c r="R38" s="19" t="n">
        <v>4800</v>
      </c>
      <c r="S38" s="10" t="n">
        <f aca="false">R38-M38</f>
        <v>0</v>
      </c>
      <c r="T38" s="10"/>
      <c r="U38" s="10"/>
      <c r="V38" s="12"/>
      <c r="W38" s="20" t="s">
        <v>55</v>
      </c>
      <c r="X38" s="21" t="n">
        <v>1000</v>
      </c>
      <c r="Y38" s="21" t="n">
        <v>1200</v>
      </c>
      <c r="Z38" s="21" t="n">
        <v>1600</v>
      </c>
      <c r="AA38" s="21" t="n">
        <v>1000</v>
      </c>
    </row>
    <row r="39" customFormat="false" ht="96.75" hidden="false" customHeight="true" outlineLevel="0" collapsed="false">
      <c r="A39" s="10"/>
      <c r="B39" s="11" t="s">
        <v>72</v>
      </c>
      <c r="C39" s="11" t="s">
        <v>165</v>
      </c>
      <c r="D39" s="12"/>
      <c r="E39" s="10"/>
      <c r="F39" s="10" t="n">
        <v>21</v>
      </c>
      <c r="G39" s="21" t="s">
        <v>190</v>
      </c>
      <c r="H39" s="13" t="s">
        <v>191</v>
      </c>
      <c r="I39" s="14" t="s">
        <v>33</v>
      </c>
      <c r="J39" s="14" t="s">
        <v>60</v>
      </c>
      <c r="K39" s="12" t="s">
        <v>198</v>
      </c>
      <c r="L39" s="16" t="s">
        <v>199</v>
      </c>
      <c r="M39" s="20" t="n">
        <v>6000</v>
      </c>
      <c r="N39" s="17" t="s">
        <v>33</v>
      </c>
      <c r="O39" s="17" t="s">
        <v>60</v>
      </c>
      <c r="P39" s="18" t="s">
        <v>198</v>
      </c>
      <c r="Q39" s="18" t="s">
        <v>199</v>
      </c>
      <c r="R39" s="19" t="n">
        <v>6000</v>
      </c>
      <c r="S39" s="10" t="n">
        <f aca="false">R39-M39</f>
        <v>0</v>
      </c>
      <c r="T39" s="10"/>
      <c r="U39" s="10"/>
      <c r="V39" s="12"/>
      <c r="W39" s="20" t="s">
        <v>200</v>
      </c>
      <c r="X39" s="10"/>
      <c r="Y39" s="21" t="n">
        <v>6000</v>
      </c>
      <c r="Z39" s="10"/>
      <c r="AA39" s="10"/>
    </row>
    <row r="40" customFormat="false" ht="83.25" hidden="false" customHeight="true" outlineLevel="0" collapsed="false">
      <c r="A40" s="10"/>
      <c r="B40" s="11" t="s">
        <v>72</v>
      </c>
      <c r="C40" s="11" t="s">
        <v>201</v>
      </c>
      <c r="D40" s="12"/>
      <c r="E40" s="10"/>
      <c r="F40" s="10" t="n">
        <v>22</v>
      </c>
      <c r="G40" s="21" t="s">
        <v>190</v>
      </c>
      <c r="H40" s="13" t="s">
        <v>191</v>
      </c>
      <c r="I40" s="14" t="s">
        <v>33</v>
      </c>
      <c r="J40" s="14" t="s">
        <v>95</v>
      </c>
      <c r="K40" s="12" t="s">
        <v>202</v>
      </c>
      <c r="L40" s="16" t="s">
        <v>203</v>
      </c>
      <c r="M40" s="20" t="n">
        <v>600</v>
      </c>
      <c r="N40" s="17" t="s">
        <v>33</v>
      </c>
      <c r="O40" s="17" t="s">
        <v>95</v>
      </c>
      <c r="P40" s="18" t="s">
        <v>202</v>
      </c>
      <c r="Q40" s="18" t="s">
        <v>204</v>
      </c>
      <c r="R40" s="19" t="n">
        <v>600</v>
      </c>
      <c r="S40" s="10" t="n">
        <f aca="false">R40-M40</f>
        <v>0</v>
      </c>
      <c r="T40" s="10"/>
      <c r="U40" s="10"/>
      <c r="V40" s="12"/>
      <c r="W40" s="20" t="s">
        <v>104</v>
      </c>
      <c r="X40" s="10"/>
      <c r="Y40" s="10"/>
      <c r="Z40" s="21" t="n">
        <v>600</v>
      </c>
      <c r="AA40" s="10"/>
    </row>
    <row r="41" customFormat="false" ht="111" hidden="false" customHeight="true" outlineLevel="0" collapsed="false">
      <c r="A41" s="10"/>
      <c r="B41" s="11" t="s">
        <v>72</v>
      </c>
      <c r="C41" s="11" t="s">
        <v>201</v>
      </c>
      <c r="D41" s="12" t="s">
        <v>189</v>
      </c>
      <c r="E41" s="10"/>
      <c r="F41" s="10" t="n">
        <v>23</v>
      </c>
      <c r="G41" s="21" t="s">
        <v>190</v>
      </c>
      <c r="H41" s="13" t="s">
        <v>191</v>
      </c>
      <c r="I41" s="14" t="s">
        <v>33</v>
      </c>
      <c r="J41" s="14" t="s">
        <v>95</v>
      </c>
      <c r="K41" s="12" t="s">
        <v>205</v>
      </c>
      <c r="L41" s="16" t="s">
        <v>206</v>
      </c>
      <c r="M41" s="20" t="n">
        <v>720</v>
      </c>
      <c r="N41" s="17" t="s">
        <v>33</v>
      </c>
      <c r="O41" s="17" t="s">
        <v>95</v>
      </c>
      <c r="P41" s="18" t="s">
        <v>205</v>
      </c>
      <c r="Q41" s="18" t="s">
        <v>207</v>
      </c>
      <c r="R41" s="19" t="n">
        <v>720</v>
      </c>
      <c r="S41" s="10" t="n">
        <f aca="false">R41-M41</f>
        <v>0</v>
      </c>
      <c r="T41" s="10"/>
      <c r="U41" s="10"/>
      <c r="V41" s="12"/>
      <c r="W41" s="20" t="s">
        <v>55</v>
      </c>
      <c r="X41" s="10"/>
      <c r="Y41" s="10"/>
      <c r="Z41" s="21" t="n">
        <v>720</v>
      </c>
      <c r="AA41" s="10"/>
    </row>
    <row r="42" customFormat="false" ht="96" hidden="false" customHeight="true" outlineLevel="0" collapsed="false">
      <c r="A42" s="10"/>
      <c r="B42" s="11" t="s">
        <v>72</v>
      </c>
      <c r="C42" s="11" t="s">
        <v>208</v>
      </c>
      <c r="D42" s="12" t="s">
        <v>209</v>
      </c>
      <c r="E42" s="10"/>
      <c r="F42" s="10" t="n">
        <v>45</v>
      </c>
      <c r="G42" s="21" t="s">
        <v>190</v>
      </c>
      <c r="H42" s="12" t="s">
        <v>210</v>
      </c>
      <c r="I42" s="14" t="s">
        <v>33</v>
      </c>
      <c r="J42" s="11" t="s">
        <v>81</v>
      </c>
      <c r="K42" s="12" t="s">
        <v>211</v>
      </c>
      <c r="L42" s="16" t="s">
        <v>212</v>
      </c>
      <c r="M42" s="20" t="n">
        <v>5040</v>
      </c>
      <c r="N42" s="17" t="s">
        <v>33</v>
      </c>
      <c r="O42" s="17" t="s">
        <v>81</v>
      </c>
      <c r="P42" s="12" t="s">
        <v>211</v>
      </c>
      <c r="Q42" s="16" t="s">
        <v>213</v>
      </c>
      <c r="R42" s="19" t="n">
        <v>5040</v>
      </c>
      <c r="S42" s="10" t="n">
        <f aca="false">R42-M42</f>
        <v>0</v>
      </c>
      <c r="T42" s="10"/>
      <c r="U42" s="10"/>
      <c r="V42" s="12"/>
      <c r="W42" s="20" t="s">
        <v>55</v>
      </c>
      <c r="X42" s="21" t="n">
        <v>1260</v>
      </c>
      <c r="Y42" s="21" t="n">
        <v>1260</v>
      </c>
      <c r="Z42" s="21" t="n">
        <v>1260</v>
      </c>
      <c r="AA42" s="21" t="n">
        <v>1260</v>
      </c>
    </row>
    <row r="43" customFormat="false" ht="83.25" hidden="false" customHeight="true" outlineLevel="0" collapsed="false">
      <c r="A43" s="10"/>
      <c r="B43" s="11" t="s">
        <v>72</v>
      </c>
      <c r="C43" s="11" t="s">
        <v>208</v>
      </c>
      <c r="D43" s="12" t="s">
        <v>209</v>
      </c>
      <c r="E43" s="10"/>
      <c r="F43" s="10" t="n">
        <v>46</v>
      </c>
      <c r="G43" s="21" t="s">
        <v>190</v>
      </c>
      <c r="H43" s="12" t="s">
        <v>210</v>
      </c>
      <c r="I43" s="14" t="s">
        <v>33</v>
      </c>
      <c r="J43" s="14" t="s">
        <v>95</v>
      </c>
      <c r="K43" s="12" t="s">
        <v>214</v>
      </c>
      <c r="L43" s="16" t="s">
        <v>215</v>
      </c>
      <c r="M43" s="20" t="n">
        <v>1200</v>
      </c>
      <c r="N43" s="17" t="s">
        <v>33</v>
      </c>
      <c r="O43" s="17" t="s">
        <v>95</v>
      </c>
      <c r="P43" s="12" t="s">
        <v>214</v>
      </c>
      <c r="Q43" s="16" t="s">
        <v>216</v>
      </c>
      <c r="R43" s="19" t="n">
        <v>1710</v>
      </c>
      <c r="S43" s="10" t="n">
        <f aca="false">R43-M43</f>
        <v>510</v>
      </c>
      <c r="T43" s="10"/>
      <c r="U43" s="10"/>
      <c r="V43" s="12"/>
      <c r="W43" s="20" t="s">
        <v>55</v>
      </c>
      <c r="X43" s="21" t="n">
        <v>400</v>
      </c>
      <c r="Y43" s="21" t="n">
        <v>455</v>
      </c>
      <c r="Z43" s="21" t="n">
        <v>455</v>
      </c>
      <c r="AA43" s="21" t="n">
        <v>400</v>
      </c>
    </row>
    <row r="44" customFormat="false" ht="111" hidden="false" customHeight="true" outlineLevel="0" collapsed="false">
      <c r="A44" s="10"/>
      <c r="B44" s="11" t="s">
        <v>24</v>
      </c>
      <c r="C44" s="11" t="s">
        <v>217</v>
      </c>
      <c r="D44" s="12" t="s">
        <v>189</v>
      </c>
      <c r="E44" s="10"/>
      <c r="F44" s="10" t="n">
        <v>47</v>
      </c>
      <c r="G44" s="21" t="s">
        <v>190</v>
      </c>
      <c r="H44" s="12" t="s">
        <v>210</v>
      </c>
      <c r="I44" s="14" t="s">
        <v>33</v>
      </c>
      <c r="J44" s="11" t="s">
        <v>81</v>
      </c>
      <c r="K44" s="12" t="s">
        <v>218</v>
      </c>
      <c r="L44" s="16" t="s">
        <v>219</v>
      </c>
      <c r="M44" s="20" t="n">
        <v>2520</v>
      </c>
      <c r="N44" s="17" t="s">
        <v>33</v>
      </c>
      <c r="O44" s="17" t="s">
        <v>81</v>
      </c>
      <c r="P44" s="12" t="s">
        <v>218</v>
      </c>
      <c r="Q44" s="16" t="s">
        <v>220</v>
      </c>
      <c r="R44" s="19" t="n">
        <v>2520</v>
      </c>
      <c r="S44" s="10" t="n">
        <f aca="false">R44-M44</f>
        <v>0</v>
      </c>
      <c r="T44" s="10"/>
      <c r="U44" s="10"/>
      <c r="V44" s="12"/>
      <c r="W44" s="20" t="s">
        <v>55</v>
      </c>
      <c r="X44" s="21" t="n">
        <v>630</v>
      </c>
      <c r="Y44" s="21" t="n">
        <v>630</v>
      </c>
      <c r="Z44" s="21" t="n">
        <v>630</v>
      </c>
      <c r="AA44" s="21" t="n">
        <v>630</v>
      </c>
    </row>
    <row r="45" customFormat="false" ht="123" hidden="false" customHeight="true" outlineLevel="0" collapsed="false">
      <c r="A45" s="10"/>
      <c r="B45" s="11" t="s">
        <v>72</v>
      </c>
      <c r="C45" s="11" t="s">
        <v>221</v>
      </c>
      <c r="D45" s="12" t="s">
        <v>222</v>
      </c>
      <c r="E45" s="10"/>
      <c r="F45" s="10" t="n">
        <v>48</v>
      </c>
      <c r="G45" s="21" t="s">
        <v>190</v>
      </c>
      <c r="H45" s="12" t="s">
        <v>210</v>
      </c>
      <c r="I45" s="14" t="s">
        <v>33</v>
      </c>
      <c r="J45" s="14" t="s">
        <v>95</v>
      </c>
      <c r="K45" s="12" t="s">
        <v>223</v>
      </c>
      <c r="L45" s="16" t="s">
        <v>224</v>
      </c>
      <c r="M45" s="20" t="n">
        <v>1440</v>
      </c>
      <c r="N45" s="17" t="s">
        <v>33</v>
      </c>
      <c r="O45" s="17" t="s">
        <v>95</v>
      </c>
      <c r="P45" s="12" t="s">
        <v>223</v>
      </c>
      <c r="Q45" s="16" t="s">
        <v>225</v>
      </c>
      <c r="R45" s="19" t="n">
        <v>1440</v>
      </c>
      <c r="S45" s="10" t="n">
        <f aca="false">R45-M45</f>
        <v>0</v>
      </c>
      <c r="T45" s="10"/>
      <c r="U45" s="10"/>
      <c r="V45" s="12"/>
      <c r="W45" s="20" t="s">
        <v>55</v>
      </c>
      <c r="X45" s="21" t="n">
        <v>360</v>
      </c>
      <c r="Y45" s="21" t="n">
        <v>360</v>
      </c>
      <c r="Z45" s="21" t="n">
        <v>360</v>
      </c>
      <c r="AA45" s="21" t="n">
        <v>360</v>
      </c>
    </row>
    <row r="46" customFormat="false" ht="83.25" hidden="false" customHeight="true" outlineLevel="0" collapsed="false">
      <c r="A46" s="10"/>
      <c r="B46" s="11" t="s">
        <v>24</v>
      </c>
      <c r="C46" s="11" t="s">
        <v>221</v>
      </c>
      <c r="D46" s="12" t="s">
        <v>222</v>
      </c>
      <c r="E46" s="10"/>
      <c r="F46" s="10" t="n">
        <v>49</v>
      </c>
      <c r="G46" s="21" t="s">
        <v>190</v>
      </c>
      <c r="H46" s="12" t="s">
        <v>210</v>
      </c>
      <c r="I46" s="14" t="s">
        <v>33</v>
      </c>
      <c r="J46" s="14" t="s">
        <v>30</v>
      </c>
      <c r="K46" s="12" t="s">
        <v>226</v>
      </c>
      <c r="L46" s="16" t="s">
        <v>227</v>
      </c>
      <c r="M46" s="20" t="n">
        <v>360</v>
      </c>
      <c r="N46" s="17" t="s">
        <v>33</v>
      </c>
      <c r="O46" s="17" t="s">
        <v>228</v>
      </c>
      <c r="P46" s="12" t="s">
        <v>226</v>
      </c>
      <c r="Q46" s="16" t="s">
        <v>229</v>
      </c>
      <c r="R46" s="19" t="n">
        <v>600</v>
      </c>
      <c r="S46" s="10" t="n">
        <f aca="false">R46-M46</f>
        <v>240</v>
      </c>
      <c r="T46" s="10"/>
      <c r="U46" s="10"/>
      <c r="V46" s="12"/>
      <c r="W46" s="20" t="s">
        <v>55</v>
      </c>
      <c r="X46" s="10"/>
      <c r="Y46" s="21" t="n">
        <v>300</v>
      </c>
      <c r="Z46" s="10"/>
      <c r="AA46" s="21" t="n">
        <v>300</v>
      </c>
    </row>
    <row r="47" customFormat="false" ht="96" hidden="false" customHeight="true" outlineLevel="0" collapsed="false">
      <c r="A47" s="10"/>
      <c r="B47" s="11" t="s">
        <v>72</v>
      </c>
      <c r="C47" s="11" t="s">
        <v>230</v>
      </c>
      <c r="D47" s="12" t="s">
        <v>231</v>
      </c>
      <c r="E47" s="10"/>
      <c r="F47" s="10" t="n">
        <v>54</v>
      </c>
      <c r="G47" s="21" t="s">
        <v>190</v>
      </c>
      <c r="H47" s="13" t="s">
        <v>232</v>
      </c>
      <c r="I47" s="14" t="s">
        <v>33</v>
      </c>
      <c r="J47" s="14" t="s">
        <v>95</v>
      </c>
      <c r="K47" s="12" t="s">
        <v>233</v>
      </c>
      <c r="L47" s="16" t="s">
        <v>234</v>
      </c>
      <c r="M47" s="20" t="n">
        <v>480</v>
      </c>
      <c r="N47" s="14" t="s">
        <v>33</v>
      </c>
      <c r="O47" s="14" t="s">
        <v>95</v>
      </c>
      <c r="P47" s="12" t="s">
        <v>233</v>
      </c>
      <c r="Q47" s="16" t="s">
        <v>235</v>
      </c>
      <c r="R47" s="20" t="n">
        <v>480</v>
      </c>
      <c r="S47" s="10" t="n">
        <f aca="false">R47-M47</f>
        <v>0</v>
      </c>
      <c r="T47" s="10"/>
      <c r="U47" s="10"/>
      <c r="V47" s="12"/>
      <c r="W47" s="20" t="s">
        <v>55</v>
      </c>
      <c r="X47" s="10"/>
      <c r="Y47" s="20" t="n">
        <v>60</v>
      </c>
      <c r="Z47" s="20" t="n">
        <v>60</v>
      </c>
      <c r="AA47" s="10"/>
    </row>
    <row r="48" customFormat="false" ht="96" hidden="false" customHeight="true" outlineLevel="0" collapsed="false">
      <c r="A48" s="10"/>
      <c r="B48" s="11" t="s">
        <v>24</v>
      </c>
      <c r="C48" s="11" t="s">
        <v>236</v>
      </c>
      <c r="D48" s="12" t="s">
        <v>237</v>
      </c>
      <c r="E48" s="10"/>
      <c r="F48" s="10" t="n">
        <v>63</v>
      </c>
      <c r="G48" s="21" t="s">
        <v>190</v>
      </c>
      <c r="H48" s="13" t="s">
        <v>238</v>
      </c>
      <c r="I48" s="14" t="s">
        <v>33</v>
      </c>
      <c r="J48" s="14" t="s">
        <v>95</v>
      </c>
      <c r="K48" s="12" t="s">
        <v>239</v>
      </c>
      <c r="L48" s="16" t="s">
        <v>240</v>
      </c>
      <c r="M48" s="20" t="n">
        <v>560</v>
      </c>
      <c r="N48" s="14" t="s">
        <v>33</v>
      </c>
      <c r="O48" s="14" t="s">
        <v>95</v>
      </c>
      <c r="P48" s="12" t="s">
        <v>239</v>
      </c>
      <c r="Q48" s="16" t="s">
        <v>241</v>
      </c>
      <c r="R48" s="19" t="n">
        <v>560</v>
      </c>
      <c r="S48" s="10" t="n">
        <f aca="false">R48-M48</f>
        <v>0</v>
      </c>
      <c r="T48" s="10"/>
      <c r="U48" s="10"/>
      <c r="V48" s="12"/>
      <c r="W48" s="20" t="s">
        <v>55</v>
      </c>
      <c r="X48" s="20" t="n">
        <v>38</v>
      </c>
      <c r="Y48" s="20" t="n">
        <v>37</v>
      </c>
      <c r="Z48" s="20" t="n">
        <v>38</v>
      </c>
      <c r="AA48" s="20" t="n">
        <v>37</v>
      </c>
    </row>
    <row r="49" customFormat="false" ht="129" hidden="false" customHeight="true" outlineLevel="0" collapsed="false">
      <c r="A49" s="10"/>
      <c r="B49" s="11" t="s">
        <v>24</v>
      </c>
      <c r="C49" s="11" t="s">
        <v>147</v>
      </c>
      <c r="D49" s="12" t="s">
        <v>237</v>
      </c>
      <c r="E49" s="10"/>
      <c r="F49" s="10" t="n">
        <v>66</v>
      </c>
      <c r="G49" s="21" t="s">
        <v>190</v>
      </c>
      <c r="H49" s="13" t="s">
        <v>238</v>
      </c>
      <c r="I49" s="14" t="s">
        <v>33</v>
      </c>
      <c r="J49" s="11" t="s">
        <v>81</v>
      </c>
      <c r="K49" s="12" t="s">
        <v>242</v>
      </c>
      <c r="L49" s="16" t="s">
        <v>243</v>
      </c>
      <c r="M49" s="20" t="n">
        <v>700</v>
      </c>
      <c r="N49" s="14" t="s">
        <v>33</v>
      </c>
      <c r="O49" s="11" t="s">
        <v>81</v>
      </c>
      <c r="P49" s="12" t="s">
        <v>242</v>
      </c>
      <c r="Q49" s="16" t="s">
        <v>243</v>
      </c>
      <c r="R49" s="19" t="n">
        <v>700</v>
      </c>
      <c r="S49" s="10" t="n">
        <f aca="false">R49-M49</f>
        <v>0</v>
      </c>
      <c r="T49" s="10"/>
      <c r="U49" s="10"/>
      <c r="V49" s="12"/>
      <c r="W49" s="20" t="s">
        <v>55</v>
      </c>
      <c r="X49" s="20" t="n">
        <v>175</v>
      </c>
      <c r="Y49" s="20" t="n">
        <v>175</v>
      </c>
      <c r="Z49" s="20" t="n">
        <v>175</v>
      </c>
      <c r="AA49" s="20" t="n">
        <v>175</v>
      </c>
    </row>
    <row r="50" customFormat="false" ht="97.5" hidden="false" customHeight="true" outlineLevel="0" collapsed="false">
      <c r="A50" s="10"/>
      <c r="B50" s="11" t="s">
        <v>24</v>
      </c>
      <c r="C50" s="11" t="s">
        <v>46</v>
      </c>
      <c r="D50" s="12" t="s">
        <v>99</v>
      </c>
      <c r="E50" s="10"/>
      <c r="F50" s="10" t="n">
        <v>82</v>
      </c>
      <c r="G50" s="21" t="s">
        <v>190</v>
      </c>
      <c r="H50" s="13" t="s">
        <v>244</v>
      </c>
      <c r="I50" s="14" t="s">
        <v>33</v>
      </c>
      <c r="J50" s="14" t="s">
        <v>50</v>
      </c>
      <c r="K50" s="12" t="s">
        <v>245</v>
      </c>
      <c r="L50" s="16" t="s">
        <v>246</v>
      </c>
      <c r="M50" s="20" t="n">
        <v>4000</v>
      </c>
      <c r="N50" s="14" t="s">
        <v>33</v>
      </c>
      <c r="O50" s="14" t="s">
        <v>50</v>
      </c>
      <c r="P50" s="12" t="s">
        <v>245</v>
      </c>
      <c r="Q50" s="16" t="s">
        <v>247</v>
      </c>
      <c r="R50" s="19" t="n">
        <v>2000</v>
      </c>
      <c r="S50" s="10" t="n">
        <f aca="false">R50-M50</f>
        <v>-2000</v>
      </c>
      <c r="T50" s="10"/>
      <c r="U50" s="10"/>
      <c r="V50" s="12"/>
      <c r="W50" s="20" t="s">
        <v>55</v>
      </c>
      <c r="X50" s="21" t="n">
        <v>1000</v>
      </c>
      <c r="Y50" s="21" t="n">
        <v>1000</v>
      </c>
      <c r="Z50" s="21" t="n">
        <v>1000</v>
      </c>
      <c r="AA50" s="21" t="n">
        <v>1000</v>
      </c>
    </row>
    <row r="51" customFormat="false" ht="97.5" hidden="false" customHeight="true" outlineLevel="0" collapsed="false">
      <c r="A51" s="10"/>
      <c r="B51" s="11" t="s">
        <v>24</v>
      </c>
      <c r="C51" s="11" t="s">
        <v>46</v>
      </c>
      <c r="D51" s="12" t="s">
        <v>99</v>
      </c>
      <c r="E51" s="10"/>
      <c r="F51" s="10" t="n">
        <v>83</v>
      </c>
      <c r="G51" s="21" t="s">
        <v>190</v>
      </c>
      <c r="H51" s="13" t="s">
        <v>244</v>
      </c>
      <c r="I51" s="14" t="s">
        <v>33</v>
      </c>
      <c r="J51" s="14" t="s">
        <v>95</v>
      </c>
      <c r="K51" s="12" t="s">
        <v>248</v>
      </c>
      <c r="L51" s="16" t="s">
        <v>249</v>
      </c>
      <c r="M51" s="20" t="n">
        <v>800</v>
      </c>
      <c r="N51" s="14" t="s">
        <v>33</v>
      </c>
      <c r="O51" s="14" t="s">
        <v>95</v>
      </c>
      <c r="P51" s="12" t="s">
        <v>248</v>
      </c>
      <c r="Q51" s="16" t="s">
        <v>249</v>
      </c>
      <c r="R51" s="19" t="n">
        <v>800</v>
      </c>
      <c r="S51" s="10" t="n">
        <f aca="false">R51-M51</f>
        <v>0</v>
      </c>
      <c r="T51" s="10"/>
      <c r="U51" s="10"/>
      <c r="V51" s="12"/>
      <c r="W51" s="20" t="s">
        <v>55</v>
      </c>
      <c r="X51" s="21" t="n">
        <v>200</v>
      </c>
      <c r="Y51" s="21" t="n">
        <v>200</v>
      </c>
      <c r="Z51" s="21" t="n">
        <v>200</v>
      </c>
      <c r="AA51" s="21" t="n">
        <v>200</v>
      </c>
    </row>
    <row r="52" customFormat="false" ht="111.75" hidden="false" customHeight="true" outlineLevel="0" collapsed="false">
      <c r="A52" s="10"/>
      <c r="B52" s="11" t="s">
        <v>24</v>
      </c>
      <c r="C52" s="11" t="s">
        <v>250</v>
      </c>
      <c r="D52" s="12" t="s">
        <v>122</v>
      </c>
      <c r="E52" s="10"/>
      <c r="F52" s="10" t="n">
        <v>92</v>
      </c>
      <c r="G52" s="21" t="s">
        <v>190</v>
      </c>
      <c r="H52" s="13" t="s">
        <v>251</v>
      </c>
      <c r="I52" s="14" t="s">
        <v>33</v>
      </c>
      <c r="J52" s="14" t="s">
        <v>250</v>
      </c>
      <c r="K52" s="12" t="s">
        <v>252</v>
      </c>
      <c r="L52" s="16" t="s">
        <v>253</v>
      </c>
      <c r="M52" s="20" t="n">
        <v>670108</v>
      </c>
      <c r="N52" s="14" t="s">
        <v>33</v>
      </c>
      <c r="O52" s="14" t="s">
        <v>250</v>
      </c>
      <c r="P52" s="12" t="s">
        <v>252</v>
      </c>
      <c r="Q52" s="18" t="s">
        <v>254</v>
      </c>
      <c r="R52" s="17" t="n">
        <v>670108</v>
      </c>
      <c r="S52" s="10" t="n">
        <f aca="false">R52-M52</f>
        <v>0</v>
      </c>
      <c r="T52" s="10"/>
      <c r="U52" s="10"/>
      <c r="V52" s="12"/>
      <c r="W52" s="20" t="s">
        <v>55</v>
      </c>
      <c r="X52" s="17" t="n">
        <v>167527</v>
      </c>
      <c r="Y52" s="17" t="n">
        <v>167527</v>
      </c>
      <c r="Z52" s="17" t="n">
        <v>167527</v>
      </c>
      <c r="AA52" s="17" t="n">
        <v>167527</v>
      </c>
    </row>
    <row r="53" customFormat="false" ht="84.75" hidden="false" customHeight="true" outlineLevel="0" collapsed="false">
      <c r="A53" s="10"/>
      <c r="B53" s="11" t="s">
        <v>24</v>
      </c>
      <c r="C53" s="11" t="s">
        <v>255</v>
      </c>
      <c r="D53" s="12" t="s">
        <v>256</v>
      </c>
      <c r="E53" s="10"/>
      <c r="F53" s="10" t="n">
        <v>97</v>
      </c>
      <c r="G53" s="21" t="s">
        <v>190</v>
      </c>
      <c r="H53" s="13" t="s">
        <v>251</v>
      </c>
      <c r="I53" s="14" t="s">
        <v>29</v>
      </c>
      <c r="J53" s="14" t="s">
        <v>257</v>
      </c>
      <c r="K53" s="12" t="s">
        <v>258</v>
      </c>
      <c r="L53" s="16" t="s">
        <v>259</v>
      </c>
      <c r="M53" s="20" t="n">
        <v>63084</v>
      </c>
      <c r="N53" s="14" t="s">
        <v>33</v>
      </c>
      <c r="O53" s="14" t="s">
        <v>257</v>
      </c>
      <c r="P53" s="12" t="s">
        <v>260</v>
      </c>
      <c r="Q53" s="18" t="s">
        <v>261</v>
      </c>
      <c r="R53" s="19" t="n">
        <v>98084</v>
      </c>
      <c r="S53" s="10" t="n">
        <f aca="false">R53-M53</f>
        <v>35000</v>
      </c>
      <c r="T53" s="10"/>
      <c r="U53" s="10"/>
      <c r="V53" s="12"/>
      <c r="W53" s="20" t="s">
        <v>55</v>
      </c>
      <c r="X53" s="21" t="n">
        <v>24521</v>
      </c>
      <c r="Y53" s="21" t="n">
        <v>24521</v>
      </c>
      <c r="Z53" s="21" t="n">
        <v>24521</v>
      </c>
      <c r="AA53" s="21" t="n">
        <v>24521</v>
      </c>
    </row>
    <row r="54" customFormat="false" ht="111.75" hidden="false" customHeight="true" outlineLevel="0" collapsed="false">
      <c r="A54" s="10"/>
      <c r="B54" s="11" t="s">
        <v>24</v>
      </c>
      <c r="C54" s="11" t="s">
        <v>262</v>
      </c>
      <c r="D54" s="12" t="s">
        <v>122</v>
      </c>
      <c r="E54" s="10"/>
      <c r="F54" s="10" t="n">
        <v>98</v>
      </c>
      <c r="G54" s="21" t="s">
        <v>190</v>
      </c>
      <c r="H54" s="13" t="s">
        <v>251</v>
      </c>
      <c r="I54" s="14" t="s">
        <v>33</v>
      </c>
      <c r="J54" s="14" t="s">
        <v>263</v>
      </c>
      <c r="K54" s="12" t="s">
        <v>264</v>
      </c>
      <c r="L54" s="16" t="s">
        <v>265</v>
      </c>
      <c r="M54" s="20" t="n">
        <v>18000</v>
      </c>
      <c r="N54" s="14" t="s">
        <v>33</v>
      </c>
      <c r="O54" s="14" t="s">
        <v>263</v>
      </c>
      <c r="P54" s="12" t="s">
        <v>264</v>
      </c>
      <c r="Q54" s="18" t="s">
        <v>266</v>
      </c>
      <c r="R54" s="19" t="n">
        <v>18000</v>
      </c>
      <c r="S54" s="10" t="n">
        <f aca="false">R54-M54</f>
        <v>0</v>
      </c>
      <c r="T54" s="10"/>
      <c r="U54" s="10"/>
      <c r="V54" s="12"/>
      <c r="W54" s="20" t="s">
        <v>55</v>
      </c>
      <c r="X54" s="17" t="n">
        <v>4500</v>
      </c>
      <c r="Y54" s="17" t="n">
        <v>4500</v>
      </c>
      <c r="Z54" s="17" t="n">
        <v>4500</v>
      </c>
      <c r="AA54" s="17" t="n">
        <v>4500</v>
      </c>
    </row>
    <row r="55" customFormat="false" ht="83.25" hidden="false" customHeight="true" outlineLevel="0" collapsed="false">
      <c r="A55" s="10"/>
      <c r="B55" s="11" t="s">
        <v>134</v>
      </c>
      <c r="C55" s="11" t="s">
        <v>267</v>
      </c>
      <c r="D55" s="12"/>
      <c r="E55" s="10"/>
      <c r="F55" s="10" t="n">
        <v>112</v>
      </c>
      <c r="G55" s="21" t="s">
        <v>190</v>
      </c>
      <c r="H55" s="12" t="s">
        <v>268</v>
      </c>
      <c r="I55" s="27" t="s">
        <v>33</v>
      </c>
      <c r="J55" s="28" t="s">
        <v>60</v>
      </c>
      <c r="K55" s="12" t="s">
        <v>269</v>
      </c>
      <c r="L55" s="16" t="s">
        <v>270</v>
      </c>
      <c r="M55" s="20" t="n">
        <v>7000</v>
      </c>
      <c r="N55" s="27" t="s">
        <v>33</v>
      </c>
      <c r="O55" s="28" t="s">
        <v>60</v>
      </c>
      <c r="P55" s="12" t="s">
        <v>269</v>
      </c>
      <c r="Q55" s="16" t="s">
        <v>270</v>
      </c>
      <c r="R55" s="20" t="n">
        <v>7000</v>
      </c>
      <c r="S55" s="10" t="n">
        <f aca="false">R55-M55</f>
        <v>0</v>
      </c>
      <c r="T55" s="10"/>
      <c r="U55" s="10"/>
      <c r="V55" s="12"/>
      <c r="W55" s="20" t="s">
        <v>180</v>
      </c>
      <c r="X55" s="17" t="n">
        <v>7000</v>
      </c>
      <c r="Y55" s="17" t="n">
        <v>0</v>
      </c>
      <c r="Z55" s="17" t="n">
        <v>0</v>
      </c>
      <c r="AA55" s="17" t="n">
        <v>0</v>
      </c>
    </row>
    <row r="56" customFormat="false" ht="110.25" hidden="false" customHeight="true" outlineLevel="0" collapsed="false">
      <c r="A56" s="10"/>
      <c r="B56" s="11" t="s">
        <v>24</v>
      </c>
      <c r="C56" s="11" t="s">
        <v>255</v>
      </c>
      <c r="D56" s="12" t="s">
        <v>256</v>
      </c>
      <c r="E56" s="10"/>
      <c r="F56" s="10" t="n">
        <v>129</v>
      </c>
      <c r="G56" s="21" t="s">
        <v>190</v>
      </c>
      <c r="H56" s="12" t="s">
        <v>271</v>
      </c>
      <c r="I56" s="11" t="s">
        <v>29</v>
      </c>
      <c r="J56" s="11" t="s">
        <v>257</v>
      </c>
      <c r="K56" s="12" t="s">
        <v>272</v>
      </c>
      <c r="L56" s="12" t="s">
        <v>273</v>
      </c>
      <c r="M56" s="21" t="n">
        <f aca="false">100*6*35</f>
        <v>21000</v>
      </c>
      <c r="N56" s="11" t="s">
        <v>29</v>
      </c>
      <c r="O56" s="11" t="s">
        <v>257</v>
      </c>
      <c r="P56" s="12" t="s">
        <v>272</v>
      </c>
      <c r="Q56" s="12" t="s">
        <v>273</v>
      </c>
      <c r="R56" s="19" t="n">
        <v>21000</v>
      </c>
      <c r="S56" s="10" t="n">
        <f aca="false">R56-M56</f>
        <v>0</v>
      </c>
      <c r="T56" s="10"/>
      <c r="U56" s="10"/>
      <c r="V56" s="12"/>
      <c r="W56" s="20" t="s">
        <v>55</v>
      </c>
      <c r="X56" s="17" t="n">
        <v>5250</v>
      </c>
      <c r="Y56" s="17" t="n">
        <v>5250</v>
      </c>
      <c r="Z56" s="17" t="n">
        <v>5250</v>
      </c>
      <c r="AA56" s="17" t="n">
        <v>5250</v>
      </c>
    </row>
    <row r="57" customFormat="false" ht="82.5" hidden="false" customHeight="true" outlineLevel="0" collapsed="false">
      <c r="A57" s="10"/>
      <c r="B57" s="11" t="s">
        <v>72</v>
      </c>
      <c r="C57" s="11" t="s">
        <v>274</v>
      </c>
      <c r="D57" s="12" t="s">
        <v>275</v>
      </c>
      <c r="E57" s="10"/>
      <c r="F57" s="10" t="n">
        <v>150</v>
      </c>
      <c r="G57" s="10" t="s">
        <v>190</v>
      </c>
      <c r="H57" s="12"/>
      <c r="I57" s="10"/>
      <c r="J57" s="10"/>
      <c r="K57" s="12"/>
      <c r="L57" s="12"/>
      <c r="M57" s="10"/>
      <c r="N57" s="10"/>
      <c r="O57" s="10"/>
      <c r="P57" s="23" t="s">
        <v>276</v>
      </c>
      <c r="Q57" s="12"/>
      <c r="R57" s="10"/>
      <c r="S57" s="10" t="n">
        <f aca="false">R57-M57</f>
        <v>0</v>
      </c>
      <c r="T57" s="10"/>
      <c r="U57" s="10"/>
      <c r="V57" s="12"/>
      <c r="W57" s="10"/>
      <c r="X57" s="10"/>
      <c r="Y57" s="10"/>
      <c r="Z57" s="10"/>
      <c r="AA57" s="10"/>
    </row>
    <row r="58" customFormat="false" ht="109.5" hidden="false" customHeight="true" outlineLevel="0" collapsed="false">
      <c r="A58" s="10"/>
      <c r="B58" s="11" t="s">
        <v>72</v>
      </c>
      <c r="C58" s="11" t="s">
        <v>277</v>
      </c>
      <c r="D58" s="12" t="s">
        <v>278</v>
      </c>
      <c r="E58" s="10"/>
      <c r="F58" s="10" t="n">
        <v>151</v>
      </c>
      <c r="G58" s="10" t="s">
        <v>190</v>
      </c>
      <c r="H58" s="12"/>
      <c r="I58" s="10"/>
      <c r="J58" s="10"/>
      <c r="K58" s="12"/>
      <c r="L58" s="12"/>
      <c r="M58" s="10"/>
      <c r="N58" s="10"/>
      <c r="O58" s="10"/>
      <c r="P58" s="23" t="s">
        <v>279</v>
      </c>
      <c r="Q58" s="12"/>
      <c r="R58" s="10"/>
      <c r="S58" s="10" t="n">
        <f aca="false">R58-M58</f>
        <v>0</v>
      </c>
      <c r="T58" s="10"/>
      <c r="U58" s="10"/>
      <c r="V58" s="12"/>
      <c r="W58" s="10"/>
      <c r="X58" s="10"/>
      <c r="Y58" s="10"/>
      <c r="Z58" s="10"/>
      <c r="AA58" s="10"/>
    </row>
    <row r="59" customFormat="false" ht="150" hidden="false" customHeight="true" outlineLevel="0" collapsed="false">
      <c r="A59" s="10"/>
      <c r="B59" s="11" t="s">
        <v>72</v>
      </c>
      <c r="C59" s="11" t="s">
        <v>280</v>
      </c>
      <c r="D59" s="12" t="s">
        <v>256</v>
      </c>
      <c r="E59" s="10"/>
      <c r="F59" s="10" t="n">
        <v>3</v>
      </c>
      <c r="G59" s="29" t="s">
        <v>281</v>
      </c>
      <c r="H59" s="16" t="s">
        <v>282</v>
      </c>
      <c r="I59" s="28" t="s">
        <v>29</v>
      </c>
      <c r="J59" s="28" t="s">
        <v>283</v>
      </c>
      <c r="K59" s="16" t="s">
        <v>284</v>
      </c>
      <c r="L59" s="16" t="s">
        <v>285</v>
      </c>
      <c r="M59" s="20" t="n">
        <v>763680</v>
      </c>
      <c r="N59" s="28" t="s">
        <v>29</v>
      </c>
      <c r="O59" s="28" t="s">
        <v>283</v>
      </c>
      <c r="P59" s="16" t="s">
        <v>284</v>
      </c>
      <c r="Q59" s="16" t="s">
        <v>286</v>
      </c>
      <c r="R59" s="19" t="n">
        <v>1589280</v>
      </c>
      <c r="S59" s="10" t="n">
        <f aca="false">R59-M59</f>
        <v>825600</v>
      </c>
      <c r="T59" s="10"/>
      <c r="U59" s="19" t="n">
        <v>763680</v>
      </c>
      <c r="V59" s="13" t="s">
        <v>287</v>
      </c>
      <c r="W59" s="20" t="s">
        <v>55</v>
      </c>
      <c r="X59" s="20" t="n">
        <v>397320</v>
      </c>
      <c r="Y59" s="20" t="n">
        <v>397320</v>
      </c>
      <c r="Z59" s="20" t="n">
        <v>397320</v>
      </c>
      <c r="AA59" s="20" t="n">
        <v>397320</v>
      </c>
    </row>
    <row r="60" customFormat="false" ht="82.5" hidden="false" customHeight="true" outlineLevel="0" collapsed="false">
      <c r="A60" s="10"/>
      <c r="B60" s="11" t="s">
        <v>181</v>
      </c>
      <c r="C60" s="11" t="s">
        <v>288</v>
      </c>
      <c r="D60" s="12"/>
      <c r="E60" s="10"/>
      <c r="F60" s="10" t="n">
        <v>6</v>
      </c>
      <c r="G60" s="29" t="s">
        <v>281</v>
      </c>
      <c r="H60" s="16" t="s">
        <v>289</v>
      </c>
      <c r="I60" s="28" t="s">
        <v>29</v>
      </c>
      <c r="J60" s="28" t="s">
        <v>290</v>
      </c>
      <c r="K60" s="30" t="s">
        <v>291</v>
      </c>
      <c r="L60" s="16" t="s">
        <v>292</v>
      </c>
      <c r="M60" s="20" t="n">
        <v>470000</v>
      </c>
      <c r="N60" s="17" t="s">
        <v>29</v>
      </c>
      <c r="O60" s="17" t="s">
        <v>290</v>
      </c>
      <c r="P60" s="23" t="s">
        <v>291</v>
      </c>
      <c r="Q60" s="18" t="s">
        <v>293</v>
      </c>
      <c r="R60" s="19" t="n">
        <v>525000</v>
      </c>
      <c r="S60" s="10" t="n">
        <f aca="false">R60-M60</f>
        <v>55000</v>
      </c>
      <c r="T60" s="10"/>
      <c r="U60" s="19" t="n">
        <f aca="false">R60</f>
        <v>525000</v>
      </c>
      <c r="V60" s="12"/>
      <c r="W60" s="20" t="s">
        <v>55</v>
      </c>
      <c r="X60" s="10"/>
      <c r="Y60" s="21" t="n">
        <v>262500</v>
      </c>
      <c r="Z60" s="10"/>
      <c r="AA60" s="21" t="n">
        <v>262500</v>
      </c>
    </row>
    <row r="61" customFormat="false" ht="114" hidden="false" customHeight="true" outlineLevel="0" collapsed="false">
      <c r="A61" s="10"/>
      <c r="B61" s="11" t="s">
        <v>24</v>
      </c>
      <c r="C61" s="11" t="s">
        <v>294</v>
      </c>
      <c r="D61" s="12" t="s">
        <v>295</v>
      </c>
      <c r="E61" s="10"/>
      <c r="F61" s="10" t="n">
        <v>7</v>
      </c>
      <c r="G61" s="29" t="s">
        <v>281</v>
      </c>
      <c r="H61" s="16" t="s">
        <v>282</v>
      </c>
      <c r="I61" s="28" t="s">
        <v>33</v>
      </c>
      <c r="J61" s="28" t="s">
        <v>296</v>
      </c>
      <c r="K61" s="16" t="s">
        <v>297</v>
      </c>
      <c r="L61" s="16" t="s">
        <v>298</v>
      </c>
      <c r="M61" s="20" t="n">
        <v>181440</v>
      </c>
      <c r="N61" s="28" t="s">
        <v>33</v>
      </c>
      <c r="O61" s="28" t="s">
        <v>296</v>
      </c>
      <c r="P61" s="16" t="s">
        <v>297</v>
      </c>
      <c r="Q61" s="16" t="s">
        <v>299</v>
      </c>
      <c r="R61" s="19" t="n">
        <v>210000</v>
      </c>
      <c r="S61" s="10" t="n">
        <f aca="false">R61-M61</f>
        <v>28560</v>
      </c>
      <c r="T61" s="10"/>
      <c r="U61" s="19" t="n">
        <f aca="false">R61</f>
        <v>210000</v>
      </c>
      <c r="V61" s="13" t="s">
        <v>300</v>
      </c>
      <c r="W61" s="20" t="s">
        <v>55</v>
      </c>
      <c r="X61" s="20" t="n">
        <v>52500</v>
      </c>
      <c r="Y61" s="20" t="n">
        <v>52500</v>
      </c>
      <c r="Z61" s="20" t="n">
        <v>52500</v>
      </c>
      <c r="AA61" s="20" t="n">
        <v>52500</v>
      </c>
    </row>
    <row r="62" customFormat="false" ht="97.5" hidden="false" customHeight="true" outlineLevel="0" collapsed="false">
      <c r="A62" s="10"/>
      <c r="B62" s="11" t="s">
        <v>24</v>
      </c>
      <c r="C62" s="11" t="s">
        <v>301</v>
      </c>
      <c r="D62" s="12" t="s">
        <v>256</v>
      </c>
      <c r="E62" s="10"/>
      <c r="F62" s="10" t="n">
        <v>8</v>
      </c>
      <c r="G62" s="29" t="s">
        <v>281</v>
      </c>
      <c r="H62" s="16" t="s">
        <v>282</v>
      </c>
      <c r="I62" s="28" t="s">
        <v>29</v>
      </c>
      <c r="J62" s="28" t="s">
        <v>302</v>
      </c>
      <c r="K62" s="16" t="s">
        <v>303</v>
      </c>
      <c r="L62" s="16" t="s">
        <v>304</v>
      </c>
      <c r="M62" s="20" t="n">
        <v>3000</v>
      </c>
      <c r="N62" s="28" t="s">
        <v>29</v>
      </c>
      <c r="O62" s="28" t="s">
        <v>302</v>
      </c>
      <c r="P62" s="16" t="s">
        <v>303</v>
      </c>
      <c r="Q62" s="16" t="s">
        <v>305</v>
      </c>
      <c r="R62" s="19" t="n">
        <v>16800</v>
      </c>
      <c r="S62" s="10" t="n">
        <f aca="false">R62-M62</f>
        <v>13800</v>
      </c>
      <c r="T62" s="10"/>
      <c r="U62" s="19" t="n">
        <f aca="false">R62</f>
        <v>16800</v>
      </c>
      <c r="V62" s="13" t="s">
        <v>306</v>
      </c>
      <c r="W62" s="20" t="s">
        <v>55</v>
      </c>
      <c r="X62" s="20" t="n">
        <v>13800</v>
      </c>
      <c r="Y62" s="20" t="n">
        <v>1000</v>
      </c>
      <c r="Z62" s="20" t="n">
        <v>1000</v>
      </c>
      <c r="AA62" s="20" t="n">
        <v>1000</v>
      </c>
    </row>
    <row r="63" customFormat="false" ht="99" hidden="false" customHeight="true" outlineLevel="0" collapsed="false">
      <c r="A63" s="10"/>
      <c r="B63" s="11" t="s">
        <v>24</v>
      </c>
      <c r="C63" s="11" t="s">
        <v>307</v>
      </c>
      <c r="D63" s="12" t="s">
        <v>308</v>
      </c>
      <c r="E63" s="10"/>
      <c r="F63" s="10" t="n">
        <v>21</v>
      </c>
      <c r="G63" s="29" t="s">
        <v>281</v>
      </c>
      <c r="H63" s="16" t="s">
        <v>289</v>
      </c>
      <c r="I63" s="28" t="s">
        <v>33</v>
      </c>
      <c r="J63" s="28" t="s">
        <v>309</v>
      </c>
      <c r="K63" s="30" t="s">
        <v>310</v>
      </c>
      <c r="L63" s="16" t="s">
        <v>311</v>
      </c>
      <c r="M63" s="20" t="n">
        <v>537000</v>
      </c>
      <c r="N63" s="17" t="s">
        <v>33</v>
      </c>
      <c r="O63" s="17" t="s">
        <v>309</v>
      </c>
      <c r="P63" s="23" t="s">
        <v>310</v>
      </c>
      <c r="Q63" s="18" t="s">
        <v>312</v>
      </c>
      <c r="R63" s="19" t="n">
        <v>540000</v>
      </c>
      <c r="S63" s="10" t="n">
        <f aca="false">R63-M63</f>
        <v>3000</v>
      </c>
      <c r="T63" s="10"/>
      <c r="U63" s="19" t="n">
        <f aca="false">R63</f>
        <v>540000</v>
      </c>
      <c r="V63" s="13" t="s">
        <v>313</v>
      </c>
      <c r="W63" s="20" t="s">
        <v>55</v>
      </c>
      <c r="X63" s="21" t="n">
        <v>140000</v>
      </c>
      <c r="Y63" s="21" t="n">
        <v>130000</v>
      </c>
      <c r="Z63" s="21" t="n">
        <v>140000</v>
      </c>
      <c r="AA63" s="21" t="n">
        <v>130000</v>
      </c>
    </row>
    <row r="64" customFormat="false" ht="97.5" hidden="false" customHeight="true" outlineLevel="0" collapsed="false">
      <c r="A64" s="10"/>
      <c r="B64" s="11" t="s">
        <v>72</v>
      </c>
      <c r="C64" s="11" t="s">
        <v>314</v>
      </c>
      <c r="D64" s="12" t="s">
        <v>315</v>
      </c>
      <c r="E64" s="10"/>
      <c r="F64" s="10" t="n">
        <v>34</v>
      </c>
      <c r="G64" s="29" t="s">
        <v>281</v>
      </c>
      <c r="H64" s="16" t="s">
        <v>289</v>
      </c>
      <c r="I64" s="28" t="s">
        <v>33</v>
      </c>
      <c r="J64" s="28" t="s">
        <v>316</v>
      </c>
      <c r="K64" s="30" t="s">
        <v>317</v>
      </c>
      <c r="L64" s="16" t="s">
        <v>318</v>
      </c>
      <c r="M64" s="20" t="n">
        <v>410000</v>
      </c>
      <c r="N64" s="17" t="s">
        <v>33</v>
      </c>
      <c r="O64" s="17" t="s">
        <v>316</v>
      </c>
      <c r="P64" s="23" t="s">
        <v>317</v>
      </c>
      <c r="Q64" s="18" t="s">
        <v>318</v>
      </c>
      <c r="R64" s="19" t="n">
        <v>410200</v>
      </c>
      <c r="S64" s="10" t="n">
        <f aca="false">R64-M64</f>
        <v>200</v>
      </c>
      <c r="T64" s="10"/>
      <c r="U64" s="19" t="n">
        <f aca="false">R64</f>
        <v>410200</v>
      </c>
      <c r="V64" s="12"/>
      <c r="W64" s="20" t="s">
        <v>128</v>
      </c>
      <c r="X64" s="10"/>
      <c r="Y64" s="10"/>
      <c r="Z64" s="10"/>
      <c r="AA64" s="21" t="n">
        <v>410200</v>
      </c>
    </row>
    <row r="65" customFormat="false" ht="97.5" hidden="false" customHeight="true" outlineLevel="0" collapsed="false">
      <c r="A65" s="10"/>
      <c r="B65" s="11" t="s">
        <v>72</v>
      </c>
      <c r="C65" s="11" t="s">
        <v>182</v>
      </c>
      <c r="D65" s="12"/>
      <c r="E65" s="10"/>
      <c r="F65" s="10" t="n">
        <v>39</v>
      </c>
      <c r="G65" s="29" t="s">
        <v>281</v>
      </c>
      <c r="H65" s="16" t="s">
        <v>289</v>
      </c>
      <c r="I65" s="28" t="s">
        <v>33</v>
      </c>
      <c r="J65" s="28" t="s">
        <v>319</v>
      </c>
      <c r="K65" s="30" t="s">
        <v>320</v>
      </c>
      <c r="L65" s="16" t="s">
        <v>321</v>
      </c>
      <c r="M65" s="20" t="n">
        <v>211500</v>
      </c>
      <c r="N65" s="17" t="s">
        <v>33</v>
      </c>
      <c r="O65" s="17" t="s">
        <v>319</v>
      </c>
      <c r="P65" s="23" t="s">
        <v>320</v>
      </c>
      <c r="Q65" s="18" t="s">
        <v>321</v>
      </c>
      <c r="R65" s="19" t="n">
        <v>211500</v>
      </c>
      <c r="S65" s="10" t="n">
        <f aca="false">R65-M65</f>
        <v>0</v>
      </c>
      <c r="T65" s="10"/>
      <c r="U65" s="19" t="n">
        <f aca="false">R65</f>
        <v>211500</v>
      </c>
      <c r="V65" s="12"/>
      <c r="W65" s="20" t="s">
        <v>55</v>
      </c>
      <c r="X65" s="21" t="n">
        <v>10000</v>
      </c>
      <c r="Y65" s="21" t="n">
        <v>10000</v>
      </c>
      <c r="Z65" s="21" t="n">
        <v>10000</v>
      </c>
      <c r="AA65" s="21" t="n">
        <v>181500</v>
      </c>
    </row>
    <row r="66" customFormat="false" ht="85.5" hidden="false" customHeight="true" outlineLevel="0" collapsed="false">
      <c r="A66" s="10"/>
      <c r="B66" s="11" t="s">
        <v>24</v>
      </c>
      <c r="C66" s="11" t="s">
        <v>322</v>
      </c>
      <c r="D66" s="12" t="s">
        <v>323</v>
      </c>
      <c r="E66" s="10"/>
      <c r="F66" s="10" t="n">
        <v>44</v>
      </c>
      <c r="G66" s="29" t="s">
        <v>281</v>
      </c>
      <c r="H66" s="16" t="s">
        <v>289</v>
      </c>
      <c r="I66" s="28" t="s">
        <v>33</v>
      </c>
      <c r="J66" s="28" t="s">
        <v>309</v>
      </c>
      <c r="K66" s="30" t="s">
        <v>324</v>
      </c>
      <c r="L66" s="16" t="s">
        <v>325</v>
      </c>
      <c r="M66" s="20" t="n">
        <v>3000</v>
      </c>
      <c r="N66" s="17" t="s">
        <v>33</v>
      </c>
      <c r="O66" s="17" t="s">
        <v>309</v>
      </c>
      <c r="P66" s="23" t="s">
        <v>324</v>
      </c>
      <c r="Q66" s="18" t="s">
        <v>325</v>
      </c>
      <c r="R66" s="19" t="n">
        <v>3000</v>
      </c>
      <c r="S66" s="10" t="n">
        <f aca="false">R66-M66</f>
        <v>0</v>
      </c>
      <c r="T66" s="10"/>
      <c r="U66" s="19" t="n">
        <f aca="false">R66</f>
        <v>3000</v>
      </c>
      <c r="V66" s="12"/>
      <c r="W66" s="20" t="s">
        <v>55</v>
      </c>
      <c r="X66" s="21" t="n">
        <v>750</v>
      </c>
      <c r="Y66" s="21" t="n">
        <v>750</v>
      </c>
      <c r="Z66" s="21" t="n">
        <v>750</v>
      </c>
      <c r="AA66" s="21" t="n">
        <v>750</v>
      </c>
    </row>
    <row r="67" customFormat="false" ht="99" hidden="false" customHeight="true" outlineLevel="0" collapsed="false">
      <c r="A67" s="10"/>
      <c r="B67" s="11" t="s">
        <v>24</v>
      </c>
      <c r="C67" s="11" t="s">
        <v>326</v>
      </c>
      <c r="D67" s="12" t="s">
        <v>327</v>
      </c>
      <c r="E67" s="10"/>
      <c r="F67" s="10" t="n">
        <v>45</v>
      </c>
      <c r="G67" s="29" t="s">
        <v>281</v>
      </c>
      <c r="H67" s="16" t="s">
        <v>289</v>
      </c>
      <c r="I67" s="28" t="s">
        <v>33</v>
      </c>
      <c r="J67" s="28" t="s">
        <v>95</v>
      </c>
      <c r="K67" s="30" t="s">
        <v>328</v>
      </c>
      <c r="L67" s="16" t="s">
        <v>329</v>
      </c>
      <c r="M67" s="20" t="n">
        <v>200</v>
      </c>
      <c r="N67" s="17" t="s">
        <v>33</v>
      </c>
      <c r="O67" s="17" t="s">
        <v>95</v>
      </c>
      <c r="P67" s="23" t="s">
        <v>328</v>
      </c>
      <c r="Q67" s="18" t="s">
        <v>329</v>
      </c>
      <c r="R67" s="19" t="n">
        <v>200</v>
      </c>
      <c r="S67" s="10" t="n">
        <f aca="false">R67-M67</f>
        <v>0</v>
      </c>
      <c r="T67" s="10"/>
      <c r="U67" s="19" t="n">
        <f aca="false">R67</f>
        <v>200</v>
      </c>
      <c r="V67" s="12"/>
      <c r="W67" s="20" t="s">
        <v>55</v>
      </c>
      <c r="X67" s="21" t="n">
        <v>100</v>
      </c>
      <c r="Y67" s="10"/>
      <c r="Z67" s="21" t="n">
        <v>100</v>
      </c>
      <c r="AA67" s="10"/>
    </row>
    <row r="68" customFormat="false" ht="100.5" hidden="false" customHeight="true" outlineLevel="0" collapsed="false">
      <c r="A68" s="10"/>
      <c r="B68" s="11" t="s">
        <v>72</v>
      </c>
      <c r="C68" s="11" t="s">
        <v>330</v>
      </c>
      <c r="D68" s="12" t="s">
        <v>315</v>
      </c>
      <c r="E68" s="10"/>
      <c r="F68" s="10" t="n">
        <v>49</v>
      </c>
      <c r="G68" s="29" t="s">
        <v>281</v>
      </c>
      <c r="H68" s="16" t="s">
        <v>289</v>
      </c>
      <c r="I68" s="28" t="s">
        <v>33</v>
      </c>
      <c r="J68" s="28" t="s">
        <v>296</v>
      </c>
      <c r="K68" s="30" t="s">
        <v>331</v>
      </c>
      <c r="L68" s="16" t="s">
        <v>332</v>
      </c>
      <c r="M68" s="20" t="n">
        <v>218400</v>
      </c>
      <c r="N68" s="17" t="s">
        <v>33</v>
      </c>
      <c r="O68" s="17" t="s">
        <v>296</v>
      </c>
      <c r="P68" s="23" t="s">
        <v>331</v>
      </c>
      <c r="Q68" s="18" t="s">
        <v>332</v>
      </c>
      <c r="R68" s="19" t="n">
        <v>218400</v>
      </c>
      <c r="S68" s="10" t="n">
        <f aca="false">R68-M68</f>
        <v>0</v>
      </c>
      <c r="T68" s="10"/>
      <c r="U68" s="19" t="n">
        <f aca="false">R68</f>
        <v>218400</v>
      </c>
      <c r="V68" s="12"/>
      <c r="W68" s="20" t="s">
        <v>55</v>
      </c>
      <c r="X68" s="21" t="n">
        <v>54600</v>
      </c>
      <c r="Y68" s="21" t="n">
        <v>54600</v>
      </c>
      <c r="Z68" s="21" t="n">
        <v>54600</v>
      </c>
      <c r="AA68" s="21" t="n">
        <v>54600</v>
      </c>
    </row>
    <row r="69" customFormat="false" ht="82.5" hidden="false" customHeight="true" outlineLevel="0" collapsed="false">
      <c r="A69" s="10"/>
      <c r="B69" s="11" t="s">
        <v>72</v>
      </c>
      <c r="C69" s="11" t="s">
        <v>333</v>
      </c>
      <c r="D69" s="12"/>
      <c r="E69" s="10"/>
      <c r="F69" s="10" t="n">
        <v>58</v>
      </c>
      <c r="G69" s="29" t="s">
        <v>281</v>
      </c>
      <c r="H69" s="16" t="s">
        <v>289</v>
      </c>
      <c r="I69" s="28" t="s">
        <v>33</v>
      </c>
      <c r="J69" s="28" t="s">
        <v>263</v>
      </c>
      <c r="K69" s="30" t="s">
        <v>334</v>
      </c>
      <c r="L69" s="16" t="s">
        <v>335</v>
      </c>
      <c r="M69" s="20" t="n">
        <v>22000</v>
      </c>
      <c r="N69" s="17" t="s">
        <v>33</v>
      </c>
      <c r="O69" s="17" t="s">
        <v>263</v>
      </c>
      <c r="P69" s="23" t="s">
        <v>334</v>
      </c>
      <c r="Q69" s="18" t="s">
        <v>335</v>
      </c>
      <c r="R69" s="19" t="n">
        <v>22000</v>
      </c>
      <c r="S69" s="10" t="n">
        <f aca="false">R69-M69</f>
        <v>0</v>
      </c>
      <c r="T69" s="10"/>
      <c r="U69" s="19" t="n">
        <f aca="false">R69</f>
        <v>22000</v>
      </c>
      <c r="V69" s="12"/>
      <c r="W69" s="20" t="s">
        <v>180</v>
      </c>
      <c r="X69" s="21" t="n">
        <v>22000</v>
      </c>
      <c r="Y69" s="10"/>
      <c r="Z69" s="10"/>
      <c r="AA69" s="10"/>
    </row>
    <row r="70" customFormat="false" ht="85.5" hidden="false" customHeight="true" outlineLevel="0" collapsed="false">
      <c r="A70" s="10"/>
      <c r="B70" s="11" t="s">
        <v>72</v>
      </c>
      <c r="C70" s="11" t="s">
        <v>336</v>
      </c>
      <c r="D70" s="12" t="s">
        <v>323</v>
      </c>
      <c r="E70" s="10"/>
      <c r="F70" s="10" t="n">
        <v>59</v>
      </c>
      <c r="G70" s="29" t="s">
        <v>281</v>
      </c>
      <c r="H70" s="16" t="s">
        <v>289</v>
      </c>
      <c r="I70" s="28" t="s">
        <v>33</v>
      </c>
      <c r="J70" s="28" t="s">
        <v>336</v>
      </c>
      <c r="K70" s="30" t="s">
        <v>337</v>
      </c>
      <c r="L70" s="16" t="s">
        <v>338</v>
      </c>
      <c r="M70" s="20" t="n">
        <v>26000</v>
      </c>
      <c r="N70" s="17" t="s">
        <v>33</v>
      </c>
      <c r="O70" s="17" t="s">
        <v>336</v>
      </c>
      <c r="P70" s="23" t="s">
        <v>337</v>
      </c>
      <c r="Q70" s="18" t="s">
        <v>338</v>
      </c>
      <c r="R70" s="19" t="n">
        <v>26000</v>
      </c>
      <c r="S70" s="10" t="n">
        <f aca="false">R70-M70</f>
        <v>0</v>
      </c>
      <c r="T70" s="10"/>
      <c r="U70" s="19" t="n">
        <f aca="false">R70</f>
        <v>26000</v>
      </c>
      <c r="V70" s="12"/>
      <c r="W70" s="20" t="s">
        <v>55</v>
      </c>
      <c r="X70" s="21" t="n">
        <v>6500</v>
      </c>
      <c r="Y70" s="21" t="n">
        <v>6500</v>
      </c>
      <c r="Z70" s="21" t="n">
        <v>6500</v>
      </c>
      <c r="AA70" s="21" t="n">
        <v>6500</v>
      </c>
    </row>
    <row r="71" customFormat="false" ht="84.75" hidden="false" customHeight="true" outlineLevel="0" collapsed="false">
      <c r="A71" s="10"/>
      <c r="B71" s="11" t="s">
        <v>181</v>
      </c>
      <c r="C71" s="11" t="s">
        <v>339</v>
      </c>
      <c r="D71" s="12"/>
      <c r="E71" s="10"/>
      <c r="F71" s="10" t="n">
        <v>60</v>
      </c>
      <c r="G71" s="29" t="s">
        <v>281</v>
      </c>
      <c r="H71" s="16" t="s">
        <v>289</v>
      </c>
      <c r="I71" s="28" t="s">
        <v>33</v>
      </c>
      <c r="J71" s="28" t="s">
        <v>263</v>
      </c>
      <c r="K71" s="30" t="s">
        <v>340</v>
      </c>
      <c r="L71" s="16" t="s">
        <v>341</v>
      </c>
      <c r="M71" s="20" t="n">
        <v>111000</v>
      </c>
      <c r="N71" s="17" t="s">
        <v>33</v>
      </c>
      <c r="O71" s="17" t="s">
        <v>263</v>
      </c>
      <c r="P71" s="23" t="s">
        <v>340</v>
      </c>
      <c r="Q71" s="18" t="s">
        <v>341</v>
      </c>
      <c r="R71" s="19" t="n">
        <v>111000</v>
      </c>
      <c r="S71" s="10" t="n">
        <f aca="false">R71-M71</f>
        <v>0</v>
      </c>
      <c r="T71" s="10"/>
      <c r="U71" s="19" t="n">
        <f aca="false">R71</f>
        <v>111000</v>
      </c>
      <c r="V71" s="12"/>
      <c r="W71" s="20" t="s">
        <v>55</v>
      </c>
      <c r="X71" s="21" t="n">
        <v>17750</v>
      </c>
      <c r="Y71" s="21" t="n">
        <v>31083</v>
      </c>
      <c r="Z71" s="21" t="n">
        <v>31083</v>
      </c>
      <c r="AA71" s="21" t="n">
        <v>31084</v>
      </c>
    </row>
    <row r="72" customFormat="false" ht="109.5" hidden="false" customHeight="true" outlineLevel="0" collapsed="false">
      <c r="A72" s="10"/>
      <c r="B72" s="11" t="s">
        <v>72</v>
      </c>
      <c r="C72" s="11" t="s">
        <v>342</v>
      </c>
      <c r="D72" s="12" t="s">
        <v>327</v>
      </c>
      <c r="E72" s="10"/>
      <c r="F72" s="10" t="n">
        <v>61</v>
      </c>
      <c r="G72" s="29" t="s">
        <v>281</v>
      </c>
      <c r="H72" s="16" t="s">
        <v>343</v>
      </c>
      <c r="I72" s="28" t="s">
        <v>33</v>
      </c>
      <c r="J72" s="28" t="s">
        <v>95</v>
      </c>
      <c r="K72" s="30" t="s">
        <v>344</v>
      </c>
      <c r="L72" s="16" t="s">
        <v>345</v>
      </c>
      <c r="M72" s="20" t="n">
        <v>2760</v>
      </c>
      <c r="N72" s="17" t="s">
        <v>33</v>
      </c>
      <c r="O72" s="17" t="s">
        <v>95</v>
      </c>
      <c r="P72" s="23" t="s">
        <v>344</v>
      </c>
      <c r="Q72" s="18" t="s">
        <v>345</v>
      </c>
      <c r="R72" s="19" t="n">
        <v>2760</v>
      </c>
      <c r="S72" s="10" t="n">
        <f aca="false">R72-M72</f>
        <v>0</v>
      </c>
      <c r="T72" s="10"/>
      <c r="U72" s="19" t="n">
        <f aca="false">R72</f>
        <v>2760</v>
      </c>
      <c r="V72" s="12"/>
      <c r="W72" s="20" t="s">
        <v>55</v>
      </c>
      <c r="X72" s="21" t="n">
        <v>690</v>
      </c>
      <c r="Y72" s="21" t="n">
        <v>690</v>
      </c>
      <c r="Z72" s="21" t="n">
        <v>690</v>
      </c>
      <c r="AA72" s="21" t="n">
        <v>690</v>
      </c>
    </row>
    <row r="73" customFormat="false" ht="138" hidden="false" customHeight="true" outlineLevel="0" collapsed="false">
      <c r="A73" s="10"/>
      <c r="B73" s="11" t="s">
        <v>72</v>
      </c>
      <c r="C73" s="11" t="s">
        <v>342</v>
      </c>
      <c r="D73" s="12" t="s">
        <v>346</v>
      </c>
      <c r="E73" s="10"/>
      <c r="F73" s="10" t="n">
        <v>62</v>
      </c>
      <c r="G73" s="29" t="s">
        <v>281</v>
      </c>
      <c r="H73" s="16" t="s">
        <v>343</v>
      </c>
      <c r="I73" s="28" t="s">
        <v>33</v>
      </c>
      <c r="J73" s="28" t="s">
        <v>95</v>
      </c>
      <c r="K73" s="30" t="s">
        <v>347</v>
      </c>
      <c r="L73" s="16" t="s">
        <v>348</v>
      </c>
      <c r="M73" s="20" t="n">
        <v>12600</v>
      </c>
      <c r="N73" s="17" t="s">
        <v>33</v>
      </c>
      <c r="O73" s="17" t="s">
        <v>95</v>
      </c>
      <c r="P73" s="23" t="s">
        <v>347</v>
      </c>
      <c r="Q73" s="18" t="s">
        <v>348</v>
      </c>
      <c r="R73" s="19" t="n">
        <v>12600</v>
      </c>
      <c r="S73" s="10" t="n">
        <f aca="false">R73-M73</f>
        <v>0</v>
      </c>
      <c r="T73" s="10"/>
      <c r="U73" s="19" t="n">
        <f aca="false">R73</f>
        <v>12600</v>
      </c>
      <c r="V73" s="12"/>
      <c r="W73" s="20" t="s">
        <v>55</v>
      </c>
      <c r="X73" s="21" t="n">
        <v>3150</v>
      </c>
      <c r="Y73" s="21" t="n">
        <v>3150</v>
      </c>
      <c r="Z73" s="21" t="n">
        <v>3150</v>
      </c>
      <c r="AA73" s="21" t="n">
        <v>3150</v>
      </c>
    </row>
    <row r="74" customFormat="false" ht="109.5" hidden="false" customHeight="true" outlineLevel="0" collapsed="false">
      <c r="A74" s="10"/>
      <c r="B74" s="11" t="s">
        <v>72</v>
      </c>
      <c r="C74" s="11" t="s">
        <v>349</v>
      </c>
      <c r="D74" s="12" t="s">
        <v>327</v>
      </c>
      <c r="E74" s="10"/>
      <c r="F74" s="10" t="n">
        <v>63</v>
      </c>
      <c r="G74" s="29" t="s">
        <v>281</v>
      </c>
      <c r="H74" s="16" t="s">
        <v>343</v>
      </c>
      <c r="I74" s="28" t="s">
        <v>33</v>
      </c>
      <c r="J74" s="28" t="s">
        <v>95</v>
      </c>
      <c r="K74" s="30" t="s">
        <v>350</v>
      </c>
      <c r="L74" s="16" t="s">
        <v>351</v>
      </c>
      <c r="M74" s="20" t="n">
        <v>43200</v>
      </c>
      <c r="N74" s="17" t="s">
        <v>33</v>
      </c>
      <c r="O74" s="17" t="s">
        <v>95</v>
      </c>
      <c r="P74" s="23" t="s">
        <v>350</v>
      </c>
      <c r="Q74" s="18" t="s">
        <v>351</v>
      </c>
      <c r="R74" s="19" t="n">
        <v>43200</v>
      </c>
      <c r="S74" s="10" t="n">
        <f aca="false">R74-M74</f>
        <v>0</v>
      </c>
      <c r="T74" s="10"/>
      <c r="U74" s="19" t="n">
        <f aca="false">R74</f>
        <v>43200</v>
      </c>
      <c r="V74" s="12"/>
      <c r="W74" s="20" t="s">
        <v>55</v>
      </c>
      <c r="X74" s="10"/>
      <c r="Y74" s="21" t="n">
        <v>21600</v>
      </c>
      <c r="Z74" s="10"/>
      <c r="AA74" s="21" t="n">
        <v>21600</v>
      </c>
    </row>
    <row r="75" customFormat="false" ht="109.5" hidden="false" customHeight="true" outlineLevel="0" collapsed="false">
      <c r="A75" s="10"/>
      <c r="B75" s="11" t="s">
        <v>72</v>
      </c>
      <c r="C75" s="11" t="s">
        <v>352</v>
      </c>
      <c r="D75" s="12" t="s">
        <v>327</v>
      </c>
      <c r="E75" s="10"/>
      <c r="F75" s="10" t="n">
        <v>64</v>
      </c>
      <c r="G75" s="29" t="s">
        <v>281</v>
      </c>
      <c r="H75" s="16" t="s">
        <v>343</v>
      </c>
      <c r="I75" s="28" t="s">
        <v>33</v>
      </c>
      <c r="J75" s="28" t="s">
        <v>95</v>
      </c>
      <c r="K75" s="30" t="s">
        <v>353</v>
      </c>
      <c r="L75" s="16" t="s">
        <v>345</v>
      </c>
      <c r="M75" s="20" t="n">
        <v>2760</v>
      </c>
      <c r="N75" s="17" t="s">
        <v>33</v>
      </c>
      <c r="O75" s="17" t="s">
        <v>95</v>
      </c>
      <c r="P75" s="23" t="s">
        <v>353</v>
      </c>
      <c r="Q75" s="18" t="s">
        <v>345</v>
      </c>
      <c r="R75" s="19" t="n">
        <v>2760</v>
      </c>
      <c r="S75" s="10" t="n">
        <f aca="false">R75-M75</f>
        <v>0</v>
      </c>
      <c r="T75" s="10"/>
      <c r="U75" s="19" t="n">
        <f aca="false">R75</f>
        <v>2760</v>
      </c>
      <c r="V75" s="12"/>
      <c r="W75" s="20" t="s">
        <v>55</v>
      </c>
      <c r="X75" s="10"/>
      <c r="Y75" s="10"/>
      <c r="Z75" s="21" t="n">
        <v>1380</v>
      </c>
      <c r="AA75" s="21" t="n">
        <v>1380</v>
      </c>
    </row>
    <row r="76" customFormat="false" ht="109.5" hidden="false" customHeight="true" outlineLevel="0" collapsed="false">
      <c r="A76" s="10"/>
      <c r="B76" s="11" t="s">
        <v>72</v>
      </c>
      <c r="C76" s="11" t="s">
        <v>352</v>
      </c>
      <c r="D76" s="12" t="s">
        <v>327</v>
      </c>
      <c r="E76" s="10"/>
      <c r="F76" s="10" t="n">
        <v>65</v>
      </c>
      <c r="G76" s="29" t="s">
        <v>281</v>
      </c>
      <c r="H76" s="16" t="s">
        <v>343</v>
      </c>
      <c r="I76" s="28" t="s">
        <v>33</v>
      </c>
      <c r="J76" s="28" t="s">
        <v>95</v>
      </c>
      <c r="K76" s="30" t="s">
        <v>354</v>
      </c>
      <c r="L76" s="16" t="s">
        <v>355</v>
      </c>
      <c r="M76" s="20" t="n">
        <v>6900</v>
      </c>
      <c r="N76" s="17" t="s">
        <v>33</v>
      </c>
      <c r="O76" s="17" t="s">
        <v>95</v>
      </c>
      <c r="P76" s="23" t="s">
        <v>354</v>
      </c>
      <c r="Q76" s="18" t="s">
        <v>355</v>
      </c>
      <c r="R76" s="19" t="n">
        <v>6900</v>
      </c>
      <c r="S76" s="10" t="n">
        <f aca="false">R76-M76</f>
        <v>0</v>
      </c>
      <c r="T76" s="10"/>
      <c r="U76" s="19" t="n">
        <f aca="false">R76</f>
        <v>6900</v>
      </c>
      <c r="V76" s="12"/>
      <c r="W76" s="20" t="s">
        <v>55</v>
      </c>
      <c r="X76" s="10"/>
      <c r="Y76" s="10"/>
      <c r="Z76" s="21" t="n">
        <v>3450</v>
      </c>
      <c r="AA76" s="21" t="n">
        <v>3450</v>
      </c>
    </row>
    <row r="77" customFormat="false" ht="109.5" hidden="false" customHeight="true" outlineLevel="0" collapsed="false">
      <c r="A77" s="10"/>
      <c r="B77" s="11" t="s">
        <v>24</v>
      </c>
      <c r="C77" s="11" t="s">
        <v>356</v>
      </c>
      <c r="D77" s="12" t="s">
        <v>209</v>
      </c>
      <c r="E77" s="10"/>
      <c r="F77" s="10" t="n">
        <v>67</v>
      </c>
      <c r="G77" s="29" t="s">
        <v>281</v>
      </c>
      <c r="H77" s="16" t="s">
        <v>343</v>
      </c>
      <c r="I77" s="28" t="s">
        <v>33</v>
      </c>
      <c r="J77" s="28" t="s">
        <v>95</v>
      </c>
      <c r="K77" s="30" t="s">
        <v>356</v>
      </c>
      <c r="L77" s="16" t="s">
        <v>357</v>
      </c>
      <c r="M77" s="20" t="n">
        <v>4320</v>
      </c>
      <c r="N77" s="17" t="s">
        <v>33</v>
      </c>
      <c r="O77" s="17" t="s">
        <v>95</v>
      </c>
      <c r="P77" s="23" t="s">
        <v>356</v>
      </c>
      <c r="Q77" s="18" t="s">
        <v>357</v>
      </c>
      <c r="R77" s="19" t="n">
        <v>4320</v>
      </c>
      <c r="S77" s="10" t="n">
        <f aca="false">R77-M77</f>
        <v>0</v>
      </c>
      <c r="T77" s="10"/>
      <c r="U77" s="19" t="n">
        <f aca="false">R77</f>
        <v>4320</v>
      </c>
      <c r="V77" s="12"/>
      <c r="W77" s="20" t="s">
        <v>55</v>
      </c>
      <c r="X77" s="21" t="n">
        <v>1080</v>
      </c>
      <c r="Y77" s="21" t="n">
        <v>1080</v>
      </c>
      <c r="Z77" s="21" t="n">
        <v>1080</v>
      </c>
      <c r="AA77" s="21" t="n">
        <v>1080</v>
      </c>
    </row>
    <row r="78" customFormat="false" ht="109.5" hidden="false" customHeight="true" outlineLevel="0" collapsed="false">
      <c r="A78" s="10"/>
      <c r="B78" s="11" t="s">
        <v>24</v>
      </c>
      <c r="C78" s="11" t="s">
        <v>358</v>
      </c>
      <c r="D78" s="12" t="s">
        <v>209</v>
      </c>
      <c r="E78" s="10"/>
      <c r="F78" s="10" t="n">
        <v>68</v>
      </c>
      <c r="G78" s="29" t="s">
        <v>281</v>
      </c>
      <c r="H78" s="16" t="s">
        <v>343</v>
      </c>
      <c r="I78" s="28" t="s">
        <v>33</v>
      </c>
      <c r="J78" s="28" t="s">
        <v>95</v>
      </c>
      <c r="K78" s="30" t="s">
        <v>358</v>
      </c>
      <c r="L78" s="16" t="s">
        <v>359</v>
      </c>
      <c r="M78" s="20" t="n">
        <v>6000</v>
      </c>
      <c r="N78" s="17" t="s">
        <v>33</v>
      </c>
      <c r="O78" s="17" t="s">
        <v>95</v>
      </c>
      <c r="P78" s="23" t="s">
        <v>358</v>
      </c>
      <c r="Q78" s="18" t="s">
        <v>359</v>
      </c>
      <c r="R78" s="19" t="n">
        <v>6000</v>
      </c>
      <c r="S78" s="10" t="n">
        <f aca="false">R78-M78</f>
        <v>0</v>
      </c>
      <c r="T78" s="10"/>
      <c r="U78" s="19" t="n">
        <f aca="false">R78</f>
        <v>6000</v>
      </c>
      <c r="V78" s="12"/>
      <c r="W78" s="20" t="s">
        <v>55</v>
      </c>
      <c r="X78" s="10"/>
      <c r="Y78" s="21" t="n">
        <v>3000</v>
      </c>
      <c r="Z78" s="10"/>
      <c r="AA78" s="21" t="n">
        <v>3000</v>
      </c>
    </row>
    <row r="79" customFormat="false" ht="109.5" hidden="false" customHeight="true" outlineLevel="0" collapsed="false">
      <c r="A79" s="10"/>
      <c r="B79" s="11" t="s">
        <v>24</v>
      </c>
      <c r="C79" s="11" t="s">
        <v>342</v>
      </c>
      <c r="D79" s="12" t="s">
        <v>327</v>
      </c>
      <c r="E79" s="10"/>
      <c r="F79" s="10" t="n">
        <v>69</v>
      </c>
      <c r="G79" s="29" t="s">
        <v>281</v>
      </c>
      <c r="H79" s="16" t="s">
        <v>343</v>
      </c>
      <c r="I79" s="28" t="s">
        <v>33</v>
      </c>
      <c r="J79" s="11" t="s">
        <v>81</v>
      </c>
      <c r="K79" s="30" t="s">
        <v>344</v>
      </c>
      <c r="L79" s="16" t="s">
        <v>360</v>
      </c>
      <c r="M79" s="20" t="n">
        <v>4480</v>
      </c>
      <c r="N79" s="17" t="s">
        <v>33</v>
      </c>
      <c r="O79" s="17" t="s">
        <v>81</v>
      </c>
      <c r="P79" s="23" t="s">
        <v>344</v>
      </c>
      <c r="Q79" s="18" t="s">
        <v>360</v>
      </c>
      <c r="R79" s="19" t="n">
        <v>4480</v>
      </c>
      <c r="S79" s="10" t="n">
        <f aca="false">R79-M79</f>
        <v>0</v>
      </c>
      <c r="T79" s="10"/>
      <c r="U79" s="19" t="n">
        <f aca="false">R79</f>
        <v>4480</v>
      </c>
      <c r="V79" s="12"/>
      <c r="W79" s="20" t="s">
        <v>55</v>
      </c>
      <c r="X79" s="21" t="n">
        <v>1120</v>
      </c>
      <c r="Y79" s="21" t="n">
        <v>1120</v>
      </c>
      <c r="Z79" s="21" t="n">
        <v>1120</v>
      </c>
      <c r="AA79" s="21" t="n">
        <v>1120</v>
      </c>
    </row>
    <row r="80" customFormat="false" ht="138" hidden="false" customHeight="true" outlineLevel="0" collapsed="false">
      <c r="A80" s="10"/>
      <c r="B80" s="11" t="s">
        <v>24</v>
      </c>
      <c r="C80" s="11" t="s">
        <v>342</v>
      </c>
      <c r="D80" s="12" t="s">
        <v>346</v>
      </c>
      <c r="E80" s="10"/>
      <c r="F80" s="10" t="n">
        <v>70</v>
      </c>
      <c r="G80" s="29" t="s">
        <v>281</v>
      </c>
      <c r="H80" s="16" t="s">
        <v>343</v>
      </c>
      <c r="I80" s="28" t="s">
        <v>33</v>
      </c>
      <c r="J80" s="11" t="s">
        <v>81</v>
      </c>
      <c r="K80" s="30" t="s">
        <v>347</v>
      </c>
      <c r="L80" s="16" t="s">
        <v>348</v>
      </c>
      <c r="M80" s="20" t="n">
        <v>12600</v>
      </c>
      <c r="N80" s="17" t="s">
        <v>33</v>
      </c>
      <c r="O80" s="17" t="s">
        <v>81</v>
      </c>
      <c r="P80" s="23" t="s">
        <v>347</v>
      </c>
      <c r="Q80" s="18" t="s">
        <v>348</v>
      </c>
      <c r="R80" s="19" t="n">
        <v>12600</v>
      </c>
      <c r="S80" s="10" t="n">
        <f aca="false">R80-M80</f>
        <v>0</v>
      </c>
      <c r="T80" s="10"/>
      <c r="U80" s="19" t="n">
        <f aca="false">R80</f>
        <v>12600</v>
      </c>
      <c r="V80" s="12"/>
      <c r="W80" s="20" t="s">
        <v>55</v>
      </c>
      <c r="X80" s="21" t="n">
        <v>3150</v>
      </c>
      <c r="Y80" s="21" t="n">
        <v>3150</v>
      </c>
      <c r="Z80" s="21" t="n">
        <v>3150</v>
      </c>
      <c r="AA80" s="21" t="n">
        <v>3150</v>
      </c>
    </row>
    <row r="81" customFormat="false" ht="109.5" hidden="false" customHeight="true" outlineLevel="0" collapsed="false">
      <c r="A81" s="10"/>
      <c r="B81" s="11" t="s">
        <v>72</v>
      </c>
      <c r="C81" s="11" t="s">
        <v>349</v>
      </c>
      <c r="D81" s="12" t="s">
        <v>327</v>
      </c>
      <c r="E81" s="10"/>
      <c r="F81" s="10" t="n">
        <v>71</v>
      </c>
      <c r="G81" s="29" t="s">
        <v>281</v>
      </c>
      <c r="H81" s="16" t="s">
        <v>343</v>
      </c>
      <c r="I81" s="28" t="s">
        <v>33</v>
      </c>
      <c r="J81" s="11" t="s">
        <v>81</v>
      </c>
      <c r="K81" s="30" t="s">
        <v>350</v>
      </c>
      <c r="L81" s="16" t="s">
        <v>351</v>
      </c>
      <c r="M81" s="20" t="n">
        <v>43200</v>
      </c>
      <c r="N81" s="17" t="s">
        <v>33</v>
      </c>
      <c r="O81" s="17" t="s">
        <v>81</v>
      </c>
      <c r="P81" s="23" t="s">
        <v>350</v>
      </c>
      <c r="Q81" s="18" t="s">
        <v>351</v>
      </c>
      <c r="R81" s="19" t="n">
        <v>43200</v>
      </c>
      <c r="S81" s="10" t="n">
        <f aca="false">R81-M81</f>
        <v>0</v>
      </c>
      <c r="T81" s="10"/>
      <c r="U81" s="19" t="n">
        <f aca="false">R81</f>
        <v>43200</v>
      </c>
      <c r="V81" s="12"/>
      <c r="W81" s="20" t="s">
        <v>55</v>
      </c>
      <c r="X81" s="10"/>
      <c r="Y81" s="21" t="n">
        <v>21600</v>
      </c>
      <c r="Z81" s="10"/>
      <c r="AA81" s="21" t="n">
        <v>21600</v>
      </c>
    </row>
    <row r="82" customFormat="false" ht="109.5" hidden="false" customHeight="true" outlineLevel="0" collapsed="false">
      <c r="A82" s="10"/>
      <c r="B82" s="11" t="s">
        <v>24</v>
      </c>
      <c r="C82" s="11" t="s">
        <v>352</v>
      </c>
      <c r="D82" s="12" t="s">
        <v>327</v>
      </c>
      <c r="E82" s="10"/>
      <c r="F82" s="10" t="n">
        <v>72</v>
      </c>
      <c r="G82" s="29" t="s">
        <v>281</v>
      </c>
      <c r="H82" s="16" t="s">
        <v>343</v>
      </c>
      <c r="I82" s="28" t="s">
        <v>33</v>
      </c>
      <c r="J82" s="11" t="s">
        <v>81</v>
      </c>
      <c r="K82" s="30" t="s">
        <v>353</v>
      </c>
      <c r="L82" s="16" t="s">
        <v>361</v>
      </c>
      <c r="M82" s="20" t="n">
        <v>7360</v>
      </c>
      <c r="N82" s="17" t="s">
        <v>33</v>
      </c>
      <c r="O82" s="17" t="s">
        <v>81</v>
      </c>
      <c r="P82" s="23" t="s">
        <v>353</v>
      </c>
      <c r="Q82" s="18" t="s">
        <v>361</v>
      </c>
      <c r="R82" s="19" t="n">
        <v>7360</v>
      </c>
      <c r="S82" s="10" t="n">
        <f aca="false">R82-M82</f>
        <v>0</v>
      </c>
      <c r="T82" s="10"/>
      <c r="U82" s="19" t="n">
        <f aca="false">R82</f>
        <v>7360</v>
      </c>
      <c r="V82" s="12"/>
      <c r="W82" s="20" t="s">
        <v>55</v>
      </c>
      <c r="X82" s="10"/>
      <c r="Y82" s="10"/>
      <c r="Z82" s="21" t="n">
        <v>3680</v>
      </c>
      <c r="AA82" s="21" t="n">
        <v>3680</v>
      </c>
    </row>
    <row r="83" customFormat="false" ht="109.5" hidden="false" customHeight="true" outlineLevel="0" collapsed="false">
      <c r="A83" s="10"/>
      <c r="B83" s="11" t="s">
        <v>24</v>
      </c>
      <c r="C83" s="11" t="s">
        <v>352</v>
      </c>
      <c r="D83" s="12" t="s">
        <v>327</v>
      </c>
      <c r="E83" s="10"/>
      <c r="F83" s="10" t="n">
        <v>73</v>
      </c>
      <c r="G83" s="29" t="s">
        <v>281</v>
      </c>
      <c r="H83" s="16" t="s">
        <v>343</v>
      </c>
      <c r="I83" s="28" t="s">
        <v>33</v>
      </c>
      <c r="J83" s="11" t="s">
        <v>81</v>
      </c>
      <c r="K83" s="30" t="s">
        <v>354</v>
      </c>
      <c r="L83" s="16" t="s">
        <v>362</v>
      </c>
      <c r="M83" s="20" t="n">
        <v>18400</v>
      </c>
      <c r="N83" s="17" t="s">
        <v>33</v>
      </c>
      <c r="O83" s="17" t="s">
        <v>81</v>
      </c>
      <c r="P83" s="23" t="s">
        <v>354</v>
      </c>
      <c r="Q83" s="18" t="s">
        <v>362</v>
      </c>
      <c r="R83" s="19" t="n">
        <v>18400</v>
      </c>
      <c r="S83" s="10" t="n">
        <f aca="false">R83-M83</f>
        <v>0</v>
      </c>
      <c r="T83" s="10"/>
      <c r="U83" s="19" t="n">
        <f aca="false">R83</f>
        <v>18400</v>
      </c>
      <c r="V83" s="12"/>
      <c r="W83" s="20" t="s">
        <v>55</v>
      </c>
      <c r="X83" s="10"/>
      <c r="Y83" s="10"/>
      <c r="Z83" s="21" t="n">
        <v>9200</v>
      </c>
      <c r="AA83" s="21" t="n">
        <v>9200</v>
      </c>
    </row>
    <row r="84" customFormat="false" ht="109.5" hidden="false" customHeight="true" outlineLevel="0" collapsed="false">
      <c r="A84" s="10"/>
      <c r="B84" s="11" t="s">
        <v>24</v>
      </c>
      <c r="C84" s="11" t="s">
        <v>363</v>
      </c>
      <c r="D84" s="12" t="s">
        <v>364</v>
      </c>
      <c r="E84" s="10"/>
      <c r="F84" s="10" t="n">
        <v>74</v>
      </c>
      <c r="G84" s="29" t="s">
        <v>281</v>
      </c>
      <c r="H84" s="16" t="s">
        <v>343</v>
      </c>
      <c r="I84" s="28" t="s">
        <v>33</v>
      </c>
      <c r="J84" s="11" t="s">
        <v>81</v>
      </c>
      <c r="K84" s="30" t="s">
        <v>365</v>
      </c>
      <c r="L84" s="16" t="s">
        <v>366</v>
      </c>
      <c r="M84" s="20" t="n">
        <v>3180</v>
      </c>
      <c r="N84" s="17" t="s">
        <v>33</v>
      </c>
      <c r="O84" s="17" t="s">
        <v>81</v>
      </c>
      <c r="P84" s="23" t="s">
        <v>365</v>
      </c>
      <c r="Q84" s="18" t="s">
        <v>366</v>
      </c>
      <c r="R84" s="19" t="n">
        <v>3180</v>
      </c>
      <c r="S84" s="10" t="n">
        <f aca="false">R84-M84</f>
        <v>0</v>
      </c>
      <c r="T84" s="10"/>
      <c r="U84" s="19" t="n">
        <f aca="false">R84</f>
        <v>3180</v>
      </c>
      <c r="V84" s="12"/>
      <c r="W84" s="20" t="s">
        <v>55</v>
      </c>
      <c r="X84" s="21" t="n">
        <v>795</v>
      </c>
      <c r="Y84" s="21" t="n">
        <v>795</v>
      </c>
      <c r="Z84" s="21" t="n">
        <v>795</v>
      </c>
      <c r="AA84" s="21" t="n">
        <v>795</v>
      </c>
    </row>
    <row r="85" customFormat="false" ht="123.75" hidden="false" customHeight="true" outlineLevel="0" collapsed="false">
      <c r="A85" s="10"/>
      <c r="B85" s="11" t="s">
        <v>134</v>
      </c>
      <c r="C85" s="11" t="s">
        <v>367</v>
      </c>
      <c r="D85" s="12"/>
      <c r="E85" s="10"/>
      <c r="F85" s="10" t="n">
        <v>77</v>
      </c>
      <c r="G85" s="29" t="s">
        <v>281</v>
      </c>
      <c r="H85" s="16" t="s">
        <v>368</v>
      </c>
      <c r="I85" s="28" t="s">
        <v>33</v>
      </c>
      <c r="J85" s="28" t="s">
        <v>369</v>
      </c>
      <c r="K85" s="30" t="s">
        <v>370</v>
      </c>
      <c r="L85" s="16" t="s">
        <v>371</v>
      </c>
      <c r="M85" s="20" t="n">
        <v>732</v>
      </c>
      <c r="N85" s="17" t="s">
        <v>33</v>
      </c>
      <c r="O85" s="17" t="s">
        <v>369</v>
      </c>
      <c r="P85" s="23" t="s">
        <v>370</v>
      </c>
      <c r="Q85" s="18" t="s">
        <v>371</v>
      </c>
      <c r="R85" s="19" t="n">
        <v>732</v>
      </c>
      <c r="S85" s="10" t="n">
        <f aca="false">R85-M85</f>
        <v>0</v>
      </c>
      <c r="T85" s="10"/>
      <c r="U85" s="19" t="n">
        <f aca="false">R85</f>
        <v>732</v>
      </c>
      <c r="V85" s="12"/>
      <c r="W85" s="20" t="s">
        <v>55</v>
      </c>
      <c r="X85" s="10"/>
      <c r="Y85" s="10"/>
      <c r="Z85" s="10"/>
      <c r="AA85" s="21" t="n">
        <v>732</v>
      </c>
    </row>
    <row r="86" customFormat="false" ht="109.5" hidden="false" customHeight="true" outlineLevel="0" collapsed="false">
      <c r="A86" s="10"/>
      <c r="B86" s="11" t="s">
        <v>24</v>
      </c>
      <c r="C86" s="11" t="s">
        <v>372</v>
      </c>
      <c r="D86" s="12" t="s">
        <v>209</v>
      </c>
      <c r="E86" s="10"/>
      <c r="F86" s="10" t="n">
        <v>78</v>
      </c>
      <c r="G86" s="29" t="s">
        <v>281</v>
      </c>
      <c r="H86" s="16" t="s">
        <v>368</v>
      </c>
      <c r="I86" s="28" t="s">
        <v>33</v>
      </c>
      <c r="J86" s="11" t="s">
        <v>81</v>
      </c>
      <c r="K86" s="30" t="s">
        <v>373</v>
      </c>
      <c r="L86" s="16" t="s">
        <v>374</v>
      </c>
      <c r="M86" s="20" t="n">
        <v>1200</v>
      </c>
      <c r="N86" s="17" t="s">
        <v>33</v>
      </c>
      <c r="O86" s="17" t="s">
        <v>81</v>
      </c>
      <c r="P86" s="23" t="s">
        <v>373</v>
      </c>
      <c r="Q86" s="18" t="s">
        <v>374</v>
      </c>
      <c r="R86" s="19" t="n">
        <v>1200</v>
      </c>
      <c r="S86" s="10" t="n">
        <f aca="false">R86-M86</f>
        <v>0</v>
      </c>
      <c r="T86" s="10"/>
      <c r="U86" s="19" t="n">
        <f aca="false">R86</f>
        <v>1200</v>
      </c>
      <c r="V86" s="12"/>
      <c r="W86" s="20" t="s">
        <v>55</v>
      </c>
      <c r="X86" s="21" t="n">
        <v>300</v>
      </c>
      <c r="Y86" s="21" t="n">
        <v>300</v>
      </c>
      <c r="Z86" s="21" t="n">
        <v>300</v>
      </c>
      <c r="AA86" s="21" t="n">
        <v>300</v>
      </c>
    </row>
    <row r="87" customFormat="false" ht="109.5" hidden="false" customHeight="true" outlineLevel="0" collapsed="false">
      <c r="A87" s="10"/>
      <c r="B87" s="11" t="s">
        <v>24</v>
      </c>
      <c r="C87" s="11" t="s">
        <v>375</v>
      </c>
      <c r="D87" s="12" t="s">
        <v>209</v>
      </c>
      <c r="E87" s="10"/>
      <c r="F87" s="10" t="n">
        <v>81</v>
      </c>
      <c r="G87" s="29" t="s">
        <v>281</v>
      </c>
      <c r="H87" s="16" t="s">
        <v>368</v>
      </c>
      <c r="I87" s="28" t="s">
        <v>33</v>
      </c>
      <c r="J87" s="28" t="s">
        <v>95</v>
      </c>
      <c r="K87" s="30" t="s">
        <v>376</v>
      </c>
      <c r="L87" s="16" t="s">
        <v>377</v>
      </c>
      <c r="M87" s="20" t="n">
        <v>1792</v>
      </c>
      <c r="N87" s="17" t="s">
        <v>33</v>
      </c>
      <c r="O87" s="17" t="s">
        <v>95</v>
      </c>
      <c r="P87" s="23" t="s">
        <v>376</v>
      </c>
      <c r="Q87" s="18" t="s">
        <v>377</v>
      </c>
      <c r="R87" s="19" t="n">
        <v>1792</v>
      </c>
      <c r="S87" s="10" t="n">
        <f aca="false">R87-M87</f>
        <v>0</v>
      </c>
      <c r="T87" s="10"/>
      <c r="U87" s="19" t="n">
        <f aca="false">R87</f>
        <v>1792</v>
      </c>
      <c r="V87" s="12"/>
      <c r="W87" s="20" t="s">
        <v>55</v>
      </c>
      <c r="X87" s="21" t="n">
        <v>448</v>
      </c>
      <c r="Y87" s="21" t="n">
        <v>448</v>
      </c>
      <c r="Z87" s="21" t="n">
        <v>448</v>
      </c>
      <c r="AA87" s="21" t="n">
        <v>448</v>
      </c>
    </row>
    <row r="88" customFormat="false" ht="171" hidden="false" customHeight="true" outlineLevel="0" collapsed="false">
      <c r="A88" s="10"/>
      <c r="B88" s="11" t="s">
        <v>134</v>
      </c>
      <c r="C88" s="11" t="s">
        <v>378</v>
      </c>
      <c r="D88" s="12"/>
      <c r="E88" s="10"/>
      <c r="F88" s="10" t="n">
        <v>87</v>
      </c>
      <c r="G88" s="29" t="s">
        <v>281</v>
      </c>
      <c r="H88" s="16" t="s">
        <v>379</v>
      </c>
      <c r="I88" s="28" t="s">
        <v>33</v>
      </c>
      <c r="J88" s="11" t="s">
        <v>81</v>
      </c>
      <c r="K88" s="16" t="s">
        <v>380</v>
      </c>
      <c r="L88" s="16" t="s">
        <v>381</v>
      </c>
      <c r="M88" s="20" t="n">
        <v>1630</v>
      </c>
      <c r="N88" s="17" t="s">
        <v>33</v>
      </c>
      <c r="O88" s="17" t="s">
        <v>81</v>
      </c>
      <c r="P88" s="18" t="s">
        <v>380</v>
      </c>
      <c r="Q88" s="18" t="s">
        <v>381</v>
      </c>
      <c r="R88" s="19" t="n">
        <v>1630</v>
      </c>
      <c r="S88" s="10" t="n">
        <f aca="false">R88-M88</f>
        <v>0</v>
      </c>
      <c r="T88" s="10"/>
      <c r="U88" s="19" t="n">
        <f aca="false">R88</f>
        <v>1630</v>
      </c>
      <c r="V88" s="12"/>
      <c r="W88" s="20" t="s">
        <v>55</v>
      </c>
      <c r="X88" s="21" t="n">
        <v>0</v>
      </c>
      <c r="Y88" s="21" t="n">
        <v>0</v>
      </c>
      <c r="Z88" s="21" t="n">
        <v>815</v>
      </c>
      <c r="AA88" s="21" t="n">
        <v>815</v>
      </c>
    </row>
    <row r="89" customFormat="false" ht="138" hidden="false" customHeight="true" outlineLevel="0" collapsed="false">
      <c r="A89" s="10"/>
      <c r="B89" s="11" t="s">
        <v>181</v>
      </c>
      <c r="C89" s="11" t="s">
        <v>382</v>
      </c>
      <c r="D89" s="12"/>
      <c r="E89" s="10"/>
      <c r="F89" s="10" t="n">
        <v>91</v>
      </c>
      <c r="G89" s="29" t="s">
        <v>281</v>
      </c>
      <c r="H89" s="16" t="s">
        <v>383</v>
      </c>
      <c r="I89" s="28" t="s">
        <v>33</v>
      </c>
      <c r="J89" s="28" t="s">
        <v>263</v>
      </c>
      <c r="K89" s="30" t="s">
        <v>384</v>
      </c>
      <c r="L89" s="16" t="s">
        <v>385</v>
      </c>
      <c r="M89" s="20" t="n">
        <v>7000</v>
      </c>
      <c r="N89" s="17" t="s">
        <v>33</v>
      </c>
      <c r="O89" s="17" t="s">
        <v>263</v>
      </c>
      <c r="P89" s="23" t="s">
        <v>384</v>
      </c>
      <c r="Q89" s="18" t="s">
        <v>385</v>
      </c>
      <c r="R89" s="19" t="n">
        <v>7000</v>
      </c>
      <c r="S89" s="10" t="n">
        <f aca="false">R89-M89</f>
        <v>0</v>
      </c>
      <c r="T89" s="10"/>
      <c r="U89" s="19" t="n">
        <f aca="false">R89</f>
        <v>7000</v>
      </c>
      <c r="V89" s="12"/>
      <c r="W89" s="20" t="s">
        <v>55</v>
      </c>
      <c r="X89" s="21" t="n">
        <v>1750</v>
      </c>
      <c r="Y89" s="21" t="n">
        <v>1750</v>
      </c>
      <c r="Z89" s="21" t="n">
        <v>1750</v>
      </c>
      <c r="AA89" s="21" t="n">
        <v>1750</v>
      </c>
    </row>
    <row r="90" customFormat="false" ht="96" hidden="false" customHeight="true" outlineLevel="0" collapsed="false">
      <c r="A90" s="10"/>
      <c r="B90" s="11" t="s">
        <v>134</v>
      </c>
      <c r="C90" s="11" t="s">
        <v>386</v>
      </c>
      <c r="D90" s="12"/>
      <c r="E90" s="10"/>
      <c r="F90" s="10" t="n">
        <v>113</v>
      </c>
      <c r="G90" s="29" t="s">
        <v>281</v>
      </c>
      <c r="H90" s="16" t="s">
        <v>387</v>
      </c>
      <c r="I90" s="28" t="s">
        <v>33</v>
      </c>
      <c r="J90" s="28" t="s">
        <v>60</v>
      </c>
      <c r="K90" s="16" t="s">
        <v>388</v>
      </c>
      <c r="L90" s="16" t="s">
        <v>389</v>
      </c>
      <c r="M90" s="20" t="n">
        <v>18000</v>
      </c>
      <c r="N90" s="28" t="s">
        <v>33</v>
      </c>
      <c r="O90" s="28" t="s">
        <v>60</v>
      </c>
      <c r="P90" s="16" t="s">
        <v>388</v>
      </c>
      <c r="Q90" s="16" t="s">
        <v>389</v>
      </c>
      <c r="R90" s="19" t="n">
        <v>18000</v>
      </c>
      <c r="S90" s="10" t="n">
        <f aca="false">R90-M90</f>
        <v>0</v>
      </c>
      <c r="T90" s="10"/>
      <c r="U90" s="19" t="n">
        <f aca="false">R90</f>
        <v>18000</v>
      </c>
      <c r="V90" s="12"/>
      <c r="W90" s="20" t="s">
        <v>55</v>
      </c>
      <c r="X90" s="21" t="n">
        <v>4500</v>
      </c>
      <c r="Y90" s="21" t="n">
        <v>4500</v>
      </c>
      <c r="Z90" s="21" t="n">
        <v>4500</v>
      </c>
      <c r="AA90" s="21" t="n">
        <v>4500</v>
      </c>
    </row>
    <row r="91" customFormat="false" ht="96.75" hidden="false" customHeight="true" outlineLevel="0" collapsed="false">
      <c r="A91" s="10"/>
      <c r="B91" s="11" t="s">
        <v>181</v>
      </c>
      <c r="C91" s="11" t="s">
        <v>390</v>
      </c>
      <c r="D91" s="12"/>
      <c r="E91" s="10"/>
      <c r="F91" s="10" t="n">
        <v>137</v>
      </c>
      <c r="G91" s="29" t="s">
        <v>281</v>
      </c>
      <c r="H91" s="16" t="s">
        <v>282</v>
      </c>
      <c r="I91" s="28" t="s">
        <v>33</v>
      </c>
      <c r="J91" s="28" t="s">
        <v>369</v>
      </c>
      <c r="K91" s="16" t="s">
        <v>391</v>
      </c>
      <c r="L91" s="16" t="s">
        <v>392</v>
      </c>
      <c r="M91" s="20" t="n">
        <v>22800</v>
      </c>
      <c r="N91" s="28" t="s">
        <v>33</v>
      </c>
      <c r="O91" s="28" t="s">
        <v>369</v>
      </c>
      <c r="P91" s="16" t="s">
        <v>393</v>
      </c>
      <c r="Q91" s="16" t="s">
        <v>394</v>
      </c>
      <c r="R91" s="19" t="n">
        <v>3600</v>
      </c>
      <c r="S91" s="10" t="n">
        <f aca="false">R91-M91</f>
        <v>-19200</v>
      </c>
      <c r="T91" s="10"/>
      <c r="U91" s="19" t="n">
        <f aca="false">R91</f>
        <v>3600</v>
      </c>
      <c r="V91" s="12"/>
      <c r="W91" s="20" t="s">
        <v>128</v>
      </c>
      <c r="X91" s="20" t="n">
        <v>1800</v>
      </c>
      <c r="Y91" s="10"/>
      <c r="Z91" s="10"/>
      <c r="AA91" s="20" t="n">
        <v>1800</v>
      </c>
    </row>
    <row r="92" customFormat="false" ht="42.75" hidden="false" customHeight="true" outlineLevel="0" collapsed="false">
      <c r="A92" s="10"/>
      <c r="B92" s="11" t="s">
        <v>72</v>
      </c>
      <c r="C92" s="11" t="s">
        <v>390</v>
      </c>
      <c r="D92" s="12"/>
      <c r="E92" s="10"/>
      <c r="F92" s="10" t="n">
        <v>141</v>
      </c>
      <c r="G92" s="10" t="s">
        <v>281</v>
      </c>
      <c r="H92" s="12"/>
      <c r="I92" s="10"/>
      <c r="J92" s="10"/>
      <c r="K92" s="12"/>
      <c r="L92" s="12"/>
      <c r="M92" s="10"/>
      <c r="N92" s="10"/>
      <c r="O92" s="10"/>
      <c r="P92" s="23" t="s">
        <v>395</v>
      </c>
      <c r="Q92" s="12"/>
      <c r="R92" s="10"/>
      <c r="S92" s="10" t="n">
        <f aca="false">R92-M92</f>
        <v>0</v>
      </c>
      <c r="T92" s="10"/>
      <c r="U92" s="10"/>
      <c r="V92" s="12"/>
      <c r="W92" s="10"/>
      <c r="X92" s="10"/>
      <c r="Y92" s="10"/>
      <c r="Z92" s="10"/>
      <c r="AA92" s="10"/>
    </row>
    <row r="93" customFormat="false" ht="109.5" hidden="false" customHeight="true" outlineLevel="0" collapsed="false">
      <c r="A93" s="10"/>
      <c r="B93" s="11" t="s">
        <v>24</v>
      </c>
      <c r="C93" s="11" t="s">
        <v>396</v>
      </c>
      <c r="D93" s="12" t="s">
        <v>397</v>
      </c>
      <c r="E93" s="10"/>
      <c r="F93" s="10" t="n">
        <v>28</v>
      </c>
      <c r="G93" s="21" t="s">
        <v>398</v>
      </c>
      <c r="H93" s="12" t="s">
        <v>399</v>
      </c>
      <c r="I93" s="14" t="s">
        <v>29</v>
      </c>
      <c r="J93" s="14" t="s">
        <v>400</v>
      </c>
      <c r="K93" s="15" t="s">
        <v>401</v>
      </c>
      <c r="L93" s="15" t="s">
        <v>402</v>
      </c>
      <c r="M93" s="20" t="n">
        <v>1490724</v>
      </c>
      <c r="N93" s="17" t="s">
        <v>29</v>
      </c>
      <c r="O93" s="17" t="s">
        <v>400</v>
      </c>
      <c r="P93" s="18" t="s">
        <v>401</v>
      </c>
      <c r="Q93" s="18" t="s">
        <v>402</v>
      </c>
      <c r="R93" s="19" t="n">
        <v>1490724</v>
      </c>
      <c r="S93" s="10" t="n">
        <f aca="false">R93-M93</f>
        <v>0</v>
      </c>
      <c r="T93" s="10"/>
      <c r="U93" s="19" t="n">
        <v>1490724</v>
      </c>
      <c r="V93" s="12"/>
      <c r="W93" s="20" t="s">
        <v>55</v>
      </c>
      <c r="X93" s="21" t="n">
        <v>372681</v>
      </c>
      <c r="Y93" s="21" t="n">
        <v>372681</v>
      </c>
      <c r="Z93" s="21" t="n">
        <v>372681</v>
      </c>
      <c r="AA93" s="21" t="n">
        <v>372681</v>
      </c>
    </row>
    <row r="94" customFormat="false" ht="109.5" hidden="false" customHeight="true" outlineLevel="0" collapsed="false">
      <c r="A94" s="10"/>
      <c r="B94" s="11" t="s">
        <v>134</v>
      </c>
      <c r="C94" s="10" t="s">
        <v>403</v>
      </c>
      <c r="D94" s="12"/>
      <c r="E94" s="10"/>
      <c r="F94" s="10" t="n">
        <v>33</v>
      </c>
      <c r="G94" s="21" t="s">
        <v>398</v>
      </c>
      <c r="H94" s="12" t="s">
        <v>399</v>
      </c>
      <c r="I94" s="14" t="s">
        <v>29</v>
      </c>
      <c r="J94" s="14" t="s">
        <v>30</v>
      </c>
      <c r="K94" s="15" t="s">
        <v>404</v>
      </c>
      <c r="L94" s="16" t="s">
        <v>405</v>
      </c>
      <c r="M94" s="20" t="n">
        <v>99360</v>
      </c>
      <c r="N94" s="17" t="s">
        <v>29</v>
      </c>
      <c r="O94" s="17" t="s">
        <v>30</v>
      </c>
      <c r="P94" s="18" t="s">
        <v>404</v>
      </c>
      <c r="Q94" s="18" t="s">
        <v>406</v>
      </c>
      <c r="R94" s="19" t="n">
        <v>99360</v>
      </c>
      <c r="S94" s="10" t="n">
        <f aca="false">R94-M94</f>
        <v>0</v>
      </c>
      <c r="T94" s="10"/>
      <c r="U94" s="19" t="n">
        <v>99360</v>
      </c>
      <c r="V94" s="12"/>
      <c r="W94" s="20" t="s">
        <v>407</v>
      </c>
      <c r="X94" s="10"/>
      <c r="Y94" s="21" t="n">
        <v>99360</v>
      </c>
      <c r="Z94" s="10"/>
      <c r="AA94" s="10"/>
    </row>
    <row r="95" customFormat="false" ht="109.5" hidden="false" customHeight="true" outlineLevel="0" collapsed="false">
      <c r="A95" s="10"/>
      <c r="B95" s="11" t="s">
        <v>134</v>
      </c>
      <c r="C95" s="11" t="s">
        <v>408</v>
      </c>
      <c r="D95" s="12"/>
      <c r="E95" s="10"/>
      <c r="F95" s="10" t="n">
        <v>53</v>
      </c>
      <c r="G95" s="21" t="s">
        <v>398</v>
      </c>
      <c r="H95" s="12" t="s">
        <v>399</v>
      </c>
      <c r="I95" s="14" t="s">
        <v>29</v>
      </c>
      <c r="J95" s="14" t="s">
        <v>30</v>
      </c>
      <c r="K95" s="15" t="s">
        <v>409</v>
      </c>
      <c r="L95" s="16" t="s">
        <v>410</v>
      </c>
      <c r="M95" s="20" t="n">
        <v>50600</v>
      </c>
      <c r="N95" s="17" t="s">
        <v>29</v>
      </c>
      <c r="O95" s="17" t="s">
        <v>30</v>
      </c>
      <c r="P95" s="18" t="s">
        <v>409</v>
      </c>
      <c r="Q95" s="18" t="s">
        <v>411</v>
      </c>
      <c r="R95" s="19" t="n">
        <v>47700</v>
      </c>
      <c r="S95" s="10" t="n">
        <f aca="false">R95-M95</f>
        <v>-2900</v>
      </c>
      <c r="T95" s="10"/>
      <c r="U95" s="19" t="n">
        <v>47700</v>
      </c>
      <c r="V95" s="12"/>
      <c r="W95" s="20" t="s">
        <v>407</v>
      </c>
      <c r="X95" s="10"/>
      <c r="Y95" s="21" t="n">
        <v>47700</v>
      </c>
      <c r="Z95" s="10"/>
      <c r="AA95" s="10"/>
    </row>
    <row r="96" customFormat="false" ht="69" hidden="false" customHeight="true" outlineLevel="0" collapsed="false">
      <c r="A96" s="10"/>
      <c r="B96" s="11" t="s">
        <v>134</v>
      </c>
      <c r="C96" s="11" t="s">
        <v>412</v>
      </c>
      <c r="D96" s="12"/>
      <c r="E96" s="10"/>
      <c r="F96" s="10" t="n">
        <v>24</v>
      </c>
      <c r="G96" s="21" t="s">
        <v>413</v>
      </c>
      <c r="H96" s="13" t="s">
        <v>414</v>
      </c>
      <c r="I96" s="14" t="s">
        <v>29</v>
      </c>
      <c r="J96" s="14" t="s">
        <v>60</v>
      </c>
      <c r="K96" s="15" t="s">
        <v>415</v>
      </c>
      <c r="L96" s="16" t="s">
        <v>416</v>
      </c>
      <c r="M96" s="20" t="n">
        <v>5000</v>
      </c>
      <c r="N96" s="17" t="s">
        <v>29</v>
      </c>
      <c r="O96" s="14" t="s">
        <v>60</v>
      </c>
      <c r="P96" s="15" t="s">
        <v>415</v>
      </c>
      <c r="Q96" s="16" t="s">
        <v>416</v>
      </c>
      <c r="R96" s="19" t="n">
        <v>5000</v>
      </c>
      <c r="S96" s="10" t="n">
        <f aca="false">R96-M96</f>
        <v>0</v>
      </c>
      <c r="T96" s="10"/>
      <c r="U96" s="19" t="n">
        <v>5000</v>
      </c>
      <c r="V96" s="12"/>
      <c r="W96" s="20" t="s">
        <v>36</v>
      </c>
      <c r="X96" s="10"/>
      <c r="Y96" s="10"/>
      <c r="Z96" s="20" t="n">
        <v>5000</v>
      </c>
      <c r="AA96" s="10"/>
    </row>
    <row r="97" customFormat="false" ht="70.5" hidden="false" customHeight="true" outlineLevel="0" collapsed="false">
      <c r="A97" s="10"/>
      <c r="B97" s="11" t="s">
        <v>134</v>
      </c>
      <c r="C97" s="11" t="s">
        <v>412</v>
      </c>
      <c r="D97" s="12"/>
      <c r="E97" s="10"/>
      <c r="F97" s="10" t="n">
        <v>25</v>
      </c>
      <c r="G97" s="21" t="s">
        <v>413</v>
      </c>
      <c r="H97" s="13" t="s">
        <v>414</v>
      </c>
      <c r="I97" s="14" t="s">
        <v>29</v>
      </c>
      <c r="J97" s="14" t="s">
        <v>60</v>
      </c>
      <c r="K97" s="12" t="s">
        <v>417</v>
      </c>
      <c r="L97" s="24" t="s">
        <v>418</v>
      </c>
      <c r="M97" s="20" t="n">
        <v>1000</v>
      </c>
      <c r="N97" s="17" t="s">
        <v>29</v>
      </c>
      <c r="O97" s="14" t="s">
        <v>60</v>
      </c>
      <c r="P97" s="12" t="s">
        <v>417</v>
      </c>
      <c r="Q97" s="24" t="s">
        <v>418</v>
      </c>
      <c r="R97" s="19" t="n">
        <v>1000</v>
      </c>
      <c r="S97" s="10" t="n">
        <f aca="false">R97-M97</f>
        <v>0</v>
      </c>
      <c r="T97" s="10"/>
      <c r="U97" s="19" t="n">
        <v>1000</v>
      </c>
      <c r="V97" s="12"/>
      <c r="W97" s="20" t="s">
        <v>55</v>
      </c>
      <c r="X97" s="10"/>
      <c r="Y97" s="10"/>
      <c r="Z97" s="10"/>
      <c r="AA97" s="20" t="n">
        <v>1000</v>
      </c>
    </row>
    <row r="98" customFormat="false" ht="96.75" hidden="false" customHeight="true" outlineLevel="0" collapsed="false">
      <c r="A98" s="10"/>
      <c r="B98" s="11" t="s">
        <v>134</v>
      </c>
      <c r="C98" s="11" t="s">
        <v>419</v>
      </c>
      <c r="D98" s="12"/>
      <c r="E98" s="10"/>
      <c r="F98" s="10" t="n">
        <v>36</v>
      </c>
      <c r="G98" s="21" t="s">
        <v>413</v>
      </c>
      <c r="H98" s="13" t="s">
        <v>420</v>
      </c>
      <c r="I98" s="14" t="s">
        <v>29</v>
      </c>
      <c r="J98" s="14" t="s">
        <v>60</v>
      </c>
      <c r="K98" s="12" t="s">
        <v>421</v>
      </c>
      <c r="L98" s="16" t="s">
        <v>422</v>
      </c>
      <c r="M98" s="20" t="n">
        <v>5000</v>
      </c>
      <c r="N98" s="14" t="s">
        <v>29</v>
      </c>
      <c r="O98" s="14" t="s">
        <v>60</v>
      </c>
      <c r="P98" s="12" t="s">
        <v>421</v>
      </c>
      <c r="Q98" s="16" t="s">
        <v>422</v>
      </c>
      <c r="R98" s="19" t="n">
        <v>5000</v>
      </c>
      <c r="S98" s="10" t="n">
        <f aca="false">R98-M98</f>
        <v>0</v>
      </c>
      <c r="T98" s="10"/>
      <c r="U98" s="19" t="n">
        <v>5000</v>
      </c>
      <c r="V98" s="12"/>
      <c r="W98" s="20" t="s">
        <v>55</v>
      </c>
      <c r="X98" s="10"/>
      <c r="Y98" s="20" t="n">
        <v>2000</v>
      </c>
      <c r="Z98" s="20" t="n">
        <v>3000</v>
      </c>
      <c r="AA98" s="10"/>
    </row>
    <row r="99" customFormat="false" ht="127.5" hidden="false" customHeight="true" outlineLevel="0" collapsed="false">
      <c r="A99" s="10"/>
      <c r="B99" s="11" t="s">
        <v>134</v>
      </c>
      <c r="C99" s="11" t="s">
        <v>423</v>
      </c>
      <c r="D99" s="12"/>
      <c r="E99" s="10"/>
      <c r="F99" s="10" t="n">
        <v>37</v>
      </c>
      <c r="G99" s="21" t="s">
        <v>413</v>
      </c>
      <c r="H99" s="13" t="s">
        <v>420</v>
      </c>
      <c r="I99" s="14" t="s">
        <v>29</v>
      </c>
      <c r="J99" s="14" t="s">
        <v>60</v>
      </c>
      <c r="K99" s="12" t="s">
        <v>424</v>
      </c>
      <c r="L99" s="16" t="s">
        <v>425</v>
      </c>
      <c r="M99" s="20" t="n">
        <v>142500</v>
      </c>
      <c r="N99" s="14" t="s">
        <v>29</v>
      </c>
      <c r="O99" s="14" t="s">
        <v>60</v>
      </c>
      <c r="P99" s="12" t="s">
        <v>424</v>
      </c>
      <c r="Q99" s="16" t="s">
        <v>425</v>
      </c>
      <c r="R99" s="19" t="n">
        <v>142500</v>
      </c>
      <c r="S99" s="10" t="n">
        <f aca="false">R99-M99</f>
        <v>0</v>
      </c>
      <c r="T99" s="10"/>
      <c r="U99" s="19" t="n">
        <v>142500</v>
      </c>
      <c r="V99" s="12"/>
      <c r="W99" s="20" t="s">
        <v>55</v>
      </c>
      <c r="X99" s="20" t="n">
        <v>30000</v>
      </c>
      <c r="Y99" s="20" t="n">
        <v>30000</v>
      </c>
      <c r="Z99" s="20" t="n">
        <v>41250</v>
      </c>
      <c r="AA99" s="20" t="n">
        <v>41250</v>
      </c>
    </row>
    <row r="100" customFormat="false" ht="82.5" hidden="false" customHeight="true" outlineLevel="0" collapsed="false">
      <c r="A100" s="10"/>
      <c r="B100" s="11" t="s">
        <v>134</v>
      </c>
      <c r="C100" s="11" t="s">
        <v>426</v>
      </c>
      <c r="D100" s="12"/>
      <c r="E100" s="10"/>
      <c r="F100" s="10" t="n">
        <v>40</v>
      </c>
      <c r="G100" s="21" t="s">
        <v>413</v>
      </c>
      <c r="H100" s="13" t="s">
        <v>420</v>
      </c>
      <c r="I100" s="14" t="s">
        <v>29</v>
      </c>
      <c r="J100" s="14" t="s">
        <v>60</v>
      </c>
      <c r="K100" s="12" t="s">
        <v>427</v>
      </c>
      <c r="L100" s="16" t="s">
        <v>428</v>
      </c>
      <c r="M100" s="20" t="n">
        <v>6000</v>
      </c>
      <c r="N100" s="14" t="s">
        <v>29</v>
      </c>
      <c r="O100" s="14" t="s">
        <v>60</v>
      </c>
      <c r="P100" s="12" t="s">
        <v>427</v>
      </c>
      <c r="Q100" s="16" t="s">
        <v>428</v>
      </c>
      <c r="R100" s="19" t="n">
        <v>6000</v>
      </c>
      <c r="S100" s="10" t="n">
        <f aca="false">R100-M100</f>
        <v>0</v>
      </c>
      <c r="T100" s="10"/>
      <c r="U100" s="19" t="n">
        <v>6000</v>
      </c>
      <c r="V100" s="12"/>
      <c r="W100" s="20" t="s">
        <v>55</v>
      </c>
      <c r="X100" s="20" t="n">
        <v>1500</v>
      </c>
      <c r="Y100" s="20" t="n">
        <v>1500</v>
      </c>
      <c r="Z100" s="20" t="n">
        <v>1500</v>
      </c>
      <c r="AA100" s="20" t="n">
        <v>1500</v>
      </c>
    </row>
    <row r="101" customFormat="false" ht="82.5" hidden="false" customHeight="true" outlineLevel="0" collapsed="false">
      <c r="A101" s="10"/>
      <c r="B101" s="11" t="s">
        <v>134</v>
      </c>
      <c r="C101" s="11" t="s">
        <v>429</v>
      </c>
      <c r="D101" s="12"/>
      <c r="E101" s="10"/>
      <c r="F101" s="10" t="n">
        <v>41</v>
      </c>
      <c r="G101" s="21" t="s">
        <v>413</v>
      </c>
      <c r="H101" s="13" t="s">
        <v>420</v>
      </c>
      <c r="I101" s="14" t="s">
        <v>29</v>
      </c>
      <c r="J101" s="14" t="s">
        <v>60</v>
      </c>
      <c r="K101" s="12" t="s">
        <v>430</v>
      </c>
      <c r="L101" s="16" t="s">
        <v>431</v>
      </c>
      <c r="M101" s="20" t="n">
        <v>50000</v>
      </c>
      <c r="N101" s="14" t="s">
        <v>29</v>
      </c>
      <c r="O101" s="14" t="s">
        <v>60</v>
      </c>
      <c r="P101" s="12" t="s">
        <v>430</v>
      </c>
      <c r="Q101" s="16" t="s">
        <v>431</v>
      </c>
      <c r="R101" s="19" t="n">
        <v>50000</v>
      </c>
      <c r="S101" s="10" t="n">
        <f aca="false">R101-M101</f>
        <v>0</v>
      </c>
      <c r="T101" s="10"/>
      <c r="U101" s="19" t="n">
        <v>50000</v>
      </c>
      <c r="V101" s="12"/>
      <c r="W101" s="20" t="s">
        <v>55</v>
      </c>
      <c r="X101" s="10"/>
      <c r="Y101" s="10"/>
      <c r="Z101" s="20" t="n">
        <v>50000</v>
      </c>
      <c r="AA101" s="10"/>
    </row>
    <row r="102" customFormat="false" ht="96" hidden="false" customHeight="true" outlineLevel="0" collapsed="false">
      <c r="A102" s="10"/>
      <c r="B102" s="11" t="s">
        <v>134</v>
      </c>
      <c r="C102" s="11" t="s">
        <v>432</v>
      </c>
      <c r="D102" s="12"/>
      <c r="E102" s="10"/>
      <c r="F102" s="10" t="n">
        <v>42</v>
      </c>
      <c r="G102" s="21" t="s">
        <v>413</v>
      </c>
      <c r="H102" s="13" t="s">
        <v>420</v>
      </c>
      <c r="I102" s="14" t="s">
        <v>29</v>
      </c>
      <c r="J102" s="14" t="s">
        <v>60</v>
      </c>
      <c r="K102" s="12" t="s">
        <v>433</v>
      </c>
      <c r="L102" s="16" t="s">
        <v>431</v>
      </c>
      <c r="M102" s="20" t="n">
        <v>50000</v>
      </c>
      <c r="N102" s="14" t="s">
        <v>29</v>
      </c>
      <c r="O102" s="14" t="s">
        <v>60</v>
      </c>
      <c r="P102" s="12" t="s">
        <v>433</v>
      </c>
      <c r="Q102" s="16" t="s">
        <v>431</v>
      </c>
      <c r="R102" s="19" t="n">
        <v>50000</v>
      </c>
      <c r="S102" s="10" t="n">
        <f aca="false">R102-M102</f>
        <v>0</v>
      </c>
      <c r="T102" s="10"/>
      <c r="U102" s="19" t="n">
        <v>50000</v>
      </c>
      <c r="V102" s="12"/>
      <c r="W102" s="20" t="s">
        <v>55</v>
      </c>
      <c r="X102" s="10"/>
      <c r="Y102" s="10"/>
      <c r="Z102" s="10"/>
      <c r="AA102" s="20" t="n">
        <v>50000</v>
      </c>
    </row>
    <row r="103" customFormat="false" ht="82.5" hidden="false" customHeight="true" outlineLevel="0" collapsed="false">
      <c r="A103" s="10"/>
      <c r="B103" s="11" t="s">
        <v>134</v>
      </c>
      <c r="C103" s="11" t="s">
        <v>434</v>
      </c>
      <c r="D103" s="12"/>
      <c r="E103" s="10"/>
      <c r="F103" s="10" t="n">
        <v>43</v>
      </c>
      <c r="G103" s="21" t="s">
        <v>413</v>
      </c>
      <c r="H103" s="13" t="s">
        <v>420</v>
      </c>
      <c r="I103" s="14" t="s">
        <v>29</v>
      </c>
      <c r="J103" s="14" t="s">
        <v>60</v>
      </c>
      <c r="K103" s="12" t="s">
        <v>435</v>
      </c>
      <c r="L103" s="16" t="s">
        <v>436</v>
      </c>
      <c r="M103" s="20" t="n">
        <v>30000</v>
      </c>
      <c r="N103" s="14" t="s">
        <v>29</v>
      </c>
      <c r="O103" s="14" t="s">
        <v>60</v>
      </c>
      <c r="P103" s="12" t="s">
        <v>435</v>
      </c>
      <c r="Q103" s="16" t="s">
        <v>436</v>
      </c>
      <c r="R103" s="19" t="n">
        <v>30000</v>
      </c>
      <c r="S103" s="10" t="n">
        <f aca="false">R103-M103</f>
        <v>0</v>
      </c>
      <c r="T103" s="10"/>
      <c r="U103" s="19" t="n">
        <v>30000</v>
      </c>
      <c r="V103" s="12"/>
      <c r="W103" s="20" t="s">
        <v>55</v>
      </c>
      <c r="X103" s="10"/>
      <c r="Y103" s="10"/>
      <c r="Z103" s="10"/>
      <c r="AA103" s="20" t="n">
        <v>30000</v>
      </c>
    </row>
    <row r="104" customFormat="false" ht="82.5" hidden="false" customHeight="true" outlineLevel="0" collapsed="false">
      <c r="A104" s="10"/>
      <c r="B104" s="11" t="s">
        <v>134</v>
      </c>
      <c r="C104" s="11" t="s">
        <v>437</v>
      </c>
      <c r="D104" s="12"/>
      <c r="E104" s="10"/>
      <c r="F104" s="10" t="n">
        <v>44</v>
      </c>
      <c r="G104" s="21" t="s">
        <v>413</v>
      </c>
      <c r="H104" s="13" t="s">
        <v>420</v>
      </c>
      <c r="I104" s="14" t="s">
        <v>29</v>
      </c>
      <c r="J104" s="14" t="s">
        <v>60</v>
      </c>
      <c r="K104" s="12" t="s">
        <v>438</v>
      </c>
      <c r="L104" s="16" t="s">
        <v>439</v>
      </c>
      <c r="M104" s="20" t="n">
        <v>20000</v>
      </c>
      <c r="N104" s="14" t="s">
        <v>29</v>
      </c>
      <c r="O104" s="14" t="s">
        <v>60</v>
      </c>
      <c r="P104" s="12" t="s">
        <v>438</v>
      </c>
      <c r="Q104" s="16" t="s">
        <v>439</v>
      </c>
      <c r="R104" s="19" t="n">
        <v>20000</v>
      </c>
      <c r="S104" s="10" t="n">
        <f aca="false">R104-M104</f>
        <v>0</v>
      </c>
      <c r="T104" s="10"/>
      <c r="U104" s="19" t="n">
        <v>20000</v>
      </c>
      <c r="V104" s="12"/>
      <c r="W104" s="20" t="s">
        <v>55</v>
      </c>
      <c r="X104" s="10"/>
      <c r="Y104" s="20" t="n">
        <v>5000</v>
      </c>
      <c r="Z104" s="20" t="n">
        <v>10000</v>
      </c>
      <c r="AA104" s="20" t="n">
        <v>5000</v>
      </c>
    </row>
    <row r="105" customFormat="false" ht="198" hidden="false" customHeight="true" outlineLevel="0" collapsed="false">
      <c r="A105" s="10"/>
      <c r="B105" s="11" t="s">
        <v>134</v>
      </c>
      <c r="C105" s="11" t="s">
        <v>440</v>
      </c>
      <c r="D105" s="12"/>
      <c r="E105" s="10"/>
      <c r="F105" s="10" t="n">
        <v>46</v>
      </c>
      <c r="G105" s="21" t="s">
        <v>413</v>
      </c>
      <c r="H105" s="13" t="s">
        <v>420</v>
      </c>
      <c r="I105" s="14" t="s">
        <v>29</v>
      </c>
      <c r="J105" s="14" t="s">
        <v>60</v>
      </c>
      <c r="K105" s="12" t="s">
        <v>441</v>
      </c>
      <c r="L105" s="16" t="s">
        <v>442</v>
      </c>
      <c r="M105" s="20" t="n">
        <v>19000</v>
      </c>
      <c r="N105" s="14" t="s">
        <v>29</v>
      </c>
      <c r="O105" s="14" t="s">
        <v>60</v>
      </c>
      <c r="P105" s="12" t="s">
        <v>441</v>
      </c>
      <c r="Q105" s="16" t="s">
        <v>443</v>
      </c>
      <c r="R105" s="19" t="n">
        <v>19000</v>
      </c>
      <c r="S105" s="10" t="n">
        <f aca="false">R105-M105</f>
        <v>0</v>
      </c>
      <c r="T105" s="10"/>
      <c r="U105" s="19" t="n">
        <v>19000</v>
      </c>
      <c r="V105" s="12"/>
      <c r="W105" s="20" t="s">
        <v>55</v>
      </c>
      <c r="X105" s="10"/>
      <c r="Y105" s="10"/>
      <c r="Z105" s="20" t="n">
        <v>10000</v>
      </c>
      <c r="AA105" s="20" t="n">
        <v>9000</v>
      </c>
    </row>
    <row r="106" customFormat="false" ht="125.25" hidden="false" customHeight="true" outlineLevel="0" collapsed="false">
      <c r="A106" s="10"/>
      <c r="B106" s="11" t="s">
        <v>134</v>
      </c>
      <c r="C106" s="11" t="s">
        <v>444</v>
      </c>
      <c r="D106" s="12"/>
      <c r="E106" s="10"/>
      <c r="F106" s="10" t="n">
        <v>51</v>
      </c>
      <c r="G106" s="21" t="s">
        <v>413</v>
      </c>
      <c r="H106" s="13" t="s">
        <v>445</v>
      </c>
      <c r="I106" s="14" t="s">
        <v>29</v>
      </c>
      <c r="J106" s="14" t="s">
        <v>60</v>
      </c>
      <c r="K106" s="12" t="s">
        <v>446</v>
      </c>
      <c r="L106" s="24" t="s">
        <v>447</v>
      </c>
      <c r="M106" s="20" t="n">
        <v>10000</v>
      </c>
      <c r="N106" s="14" t="s">
        <v>29</v>
      </c>
      <c r="O106" s="14" t="s">
        <v>60</v>
      </c>
      <c r="P106" s="12" t="s">
        <v>446</v>
      </c>
      <c r="Q106" s="24" t="s">
        <v>447</v>
      </c>
      <c r="R106" s="19" t="n">
        <v>10000</v>
      </c>
      <c r="S106" s="10" t="n">
        <f aca="false">R106-M106</f>
        <v>0</v>
      </c>
      <c r="T106" s="10"/>
      <c r="U106" s="19" t="n">
        <v>10000</v>
      </c>
      <c r="V106" s="12"/>
      <c r="W106" s="20" t="s">
        <v>55</v>
      </c>
      <c r="X106" s="10"/>
      <c r="Y106" s="10"/>
      <c r="Z106" s="10"/>
      <c r="AA106" s="20" t="n">
        <v>10000</v>
      </c>
    </row>
    <row r="107" customFormat="false" ht="83.25" hidden="false" customHeight="true" outlineLevel="0" collapsed="false">
      <c r="A107" s="10"/>
      <c r="B107" s="11" t="s">
        <v>134</v>
      </c>
      <c r="C107" s="11" t="s">
        <v>448</v>
      </c>
      <c r="D107" s="12"/>
      <c r="E107" s="10"/>
      <c r="F107" s="10" t="n">
        <v>78</v>
      </c>
      <c r="G107" s="21" t="s">
        <v>413</v>
      </c>
      <c r="H107" s="12" t="s">
        <v>449</v>
      </c>
      <c r="I107" s="14" t="s">
        <v>29</v>
      </c>
      <c r="J107" s="28" t="s">
        <v>60</v>
      </c>
      <c r="K107" s="12" t="s">
        <v>450</v>
      </c>
      <c r="L107" s="24" t="s">
        <v>451</v>
      </c>
      <c r="M107" s="20" t="n">
        <v>3500</v>
      </c>
      <c r="N107" s="14" t="s">
        <v>29</v>
      </c>
      <c r="O107" s="28" t="s">
        <v>60</v>
      </c>
      <c r="P107" s="12" t="s">
        <v>450</v>
      </c>
      <c r="Q107" s="24" t="s">
        <v>451</v>
      </c>
      <c r="R107" s="19" t="n">
        <v>3500</v>
      </c>
      <c r="S107" s="10" t="n">
        <f aca="false">R107-M107</f>
        <v>0</v>
      </c>
      <c r="T107" s="10"/>
      <c r="U107" s="19" t="n">
        <v>3500</v>
      </c>
      <c r="V107" s="12"/>
      <c r="W107" s="20" t="s">
        <v>55</v>
      </c>
      <c r="X107" s="10"/>
      <c r="Y107" s="10"/>
      <c r="Z107" s="10"/>
      <c r="AA107" s="20" t="n">
        <v>3500</v>
      </c>
    </row>
    <row r="108" customFormat="false" ht="69.75" hidden="false" customHeight="true" outlineLevel="0" collapsed="false">
      <c r="A108" s="10"/>
      <c r="B108" s="11" t="s">
        <v>72</v>
      </c>
      <c r="C108" s="11" t="s">
        <v>452</v>
      </c>
      <c r="D108" s="12"/>
      <c r="E108" s="10"/>
      <c r="F108" s="10" t="n">
        <v>82</v>
      </c>
      <c r="G108" s="21" t="s">
        <v>413</v>
      </c>
      <c r="H108" s="12" t="s">
        <v>449</v>
      </c>
      <c r="I108" s="14" t="s">
        <v>29</v>
      </c>
      <c r="J108" s="14" t="s">
        <v>30</v>
      </c>
      <c r="K108" s="12" t="s">
        <v>453</v>
      </c>
      <c r="L108" s="24" t="s">
        <v>247</v>
      </c>
      <c r="M108" s="20" t="n">
        <v>2000</v>
      </c>
      <c r="N108" s="14" t="s">
        <v>29</v>
      </c>
      <c r="O108" s="14" t="s">
        <v>228</v>
      </c>
      <c r="P108" s="12" t="s">
        <v>453</v>
      </c>
      <c r="Q108" s="24" t="s">
        <v>247</v>
      </c>
      <c r="R108" s="19" t="n">
        <v>2000</v>
      </c>
      <c r="S108" s="10" t="n">
        <f aca="false">R108-M108</f>
        <v>0</v>
      </c>
      <c r="T108" s="10"/>
      <c r="U108" s="19" t="n">
        <v>2000</v>
      </c>
      <c r="V108" s="13" t="s">
        <v>454</v>
      </c>
      <c r="W108" s="20" t="s">
        <v>55</v>
      </c>
      <c r="X108" s="10"/>
      <c r="Y108" s="10"/>
      <c r="Z108" s="10"/>
      <c r="AA108" s="20" t="n">
        <v>2000</v>
      </c>
    </row>
    <row r="109" customFormat="false" ht="82.5" hidden="false" customHeight="true" outlineLevel="0" collapsed="false">
      <c r="A109" s="10"/>
      <c r="B109" s="11" t="s">
        <v>72</v>
      </c>
      <c r="C109" s="11" t="s">
        <v>455</v>
      </c>
      <c r="D109" s="12"/>
      <c r="E109" s="10"/>
      <c r="F109" s="10" t="n">
        <v>84</v>
      </c>
      <c r="G109" s="21" t="s">
        <v>413</v>
      </c>
      <c r="H109" s="13" t="s">
        <v>420</v>
      </c>
      <c r="I109" s="14" t="s">
        <v>29</v>
      </c>
      <c r="J109" s="14" t="s">
        <v>456</v>
      </c>
      <c r="K109" s="12" t="s">
        <v>457</v>
      </c>
      <c r="L109" s="16" t="s">
        <v>458</v>
      </c>
      <c r="M109" s="20" t="n">
        <v>26200</v>
      </c>
      <c r="N109" s="14" t="s">
        <v>29</v>
      </c>
      <c r="O109" s="14" t="s">
        <v>456</v>
      </c>
      <c r="P109" s="12" t="s">
        <v>457</v>
      </c>
      <c r="Q109" s="16" t="s">
        <v>459</v>
      </c>
      <c r="R109" s="19" t="n">
        <v>26100</v>
      </c>
      <c r="S109" s="10" t="n">
        <f aca="false">R109-M109</f>
        <v>-100</v>
      </c>
      <c r="T109" s="10"/>
      <c r="U109" s="19" t="n">
        <v>26100</v>
      </c>
      <c r="V109" s="22" t="s">
        <v>460</v>
      </c>
      <c r="W109" s="20" t="s">
        <v>55</v>
      </c>
      <c r="X109" s="20" t="n">
        <v>6525</v>
      </c>
      <c r="Y109" s="20" t="n">
        <v>6525</v>
      </c>
      <c r="Z109" s="20" t="n">
        <v>6525</v>
      </c>
      <c r="AA109" s="20" t="n">
        <v>6525</v>
      </c>
    </row>
    <row r="110" customFormat="false" ht="109.5" hidden="false" customHeight="true" outlineLevel="0" collapsed="false">
      <c r="A110" s="10"/>
      <c r="B110" s="11" t="s">
        <v>72</v>
      </c>
      <c r="C110" s="11" t="s">
        <v>56</v>
      </c>
      <c r="D110" s="12"/>
      <c r="E110" s="10"/>
      <c r="F110" s="10" t="n">
        <v>86</v>
      </c>
      <c r="G110" s="21" t="s">
        <v>413</v>
      </c>
      <c r="H110" s="13" t="s">
        <v>445</v>
      </c>
      <c r="I110" s="14" t="s">
        <v>29</v>
      </c>
      <c r="J110" s="28" t="s">
        <v>60</v>
      </c>
      <c r="K110" s="12" t="s">
        <v>461</v>
      </c>
      <c r="L110" s="24" t="s">
        <v>462</v>
      </c>
      <c r="M110" s="20" t="n">
        <v>24000</v>
      </c>
      <c r="N110" s="14" t="s">
        <v>29</v>
      </c>
      <c r="O110" s="28" t="s">
        <v>60</v>
      </c>
      <c r="P110" s="12" t="s">
        <v>461</v>
      </c>
      <c r="Q110" s="24" t="s">
        <v>463</v>
      </c>
      <c r="R110" s="19" t="n">
        <v>19575</v>
      </c>
      <c r="S110" s="10" t="n">
        <f aca="false">R110-M110</f>
        <v>-4425</v>
      </c>
      <c r="T110" s="10"/>
      <c r="U110" s="19" t="n">
        <v>19575</v>
      </c>
      <c r="V110" s="22" t="s">
        <v>464</v>
      </c>
      <c r="W110" s="20" t="s">
        <v>55</v>
      </c>
      <c r="X110" s="10"/>
      <c r="Y110" s="20" t="n">
        <v>9575</v>
      </c>
      <c r="Z110" s="10"/>
      <c r="AA110" s="20" t="n">
        <v>10000</v>
      </c>
    </row>
    <row r="111" customFormat="false" ht="82.5" hidden="false" customHeight="true" outlineLevel="0" collapsed="false">
      <c r="A111" s="10"/>
      <c r="B111" s="11" t="s">
        <v>134</v>
      </c>
      <c r="C111" s="11" t="s">
        <v>465</v>
      </c>
      <c r="D111" s="12"/>
      <c r="E111" s="10"/>
      <c r="F111" s="10" t="n">
        <v>87</v>
      </c>
      <c r="G111" s="21" t="s">
        <v>413</v>
      </c>
      <c r="H111" s="13" t="s">
        <v>420</v>
      </c>
      <c r="I111" s="14" t="s">
        <v>29</v>
      </c>
      <c r="J111" s="14" t="s">
        <v>60</v>
      </c>
      <c r="K111" s="12" t="s">
        <v>466</v>
      </c>
      <c r="L111" s="16" t="s">
        <v>467</v>
      </c>
      <c r="M111" s="20" t="n">
        <v>32120</v>
      </c>
      <c r="N111" s="14" t="s">
        <v>29</v>
      </c>
      <c r="O111" s="14" t="s">
        <v>60</v>
      </c>
      <c r="P111" s="12" t="s">
        <v>466</v>
      </c>
      <c r="Q111" s="16" t="s">
        <v>468</v>
      </c>
      <c r="R111" s="19" t="n">
        <v>19690</v>
      </c>
      <c r="S111" s="10" t="n">
        <f aca="false">R111-M111</f>
        <v>-12430</v>
      </c>
      <c r="T111" s="10"/>
      <c r="U111" s="19" t="n">
        <v>19690</v>
      </c>
      <c r="V111" s="22" t="s">
        <v>469</v>
      </c>
      <c r="W111" s="20" t="s">
        <v>55</v>
      </c>
      <c r="X111" s="10"/>
      <c r="Y111" s="10"/>
      <c r="Z111" s="10"/>
      <c r="AA111" s="20" t="n">
        <v>19690</v>
      </c>
    </row>
    <row r="112" customFormat="false" ht="227.25" hidden="false" customHeight="true" outlineLevel="0" collapsed="false">
      <c r="A112" s="10"/>
      <c r="B112" s="11" t="s">
        <v>72</v>
      </c>
      <c r="C112" s="10" t="s">
        <v>470</v>
      </c>
      <c r="D112" s="12"/>
      <c r="E112" s="10"/>
      <c r="F112" s="10" t="n">
        <v>88</v>
      </c>
      <c r="G112" s="21" t="s">
        <v>413</v>
      </c>
      <c r="H112" s="13" t="s">
        <v>420</v>
      </c>
      <c r="I112" s="14" t="s">
        <v>29</v>
      </c>
      <c r="J112" s="14" t="s">
        <v>60</v>
      </c>
      <c r="K112" s="12" t="s">
        <v>471</v>
      </c>
      <c r="L112" s="24" t="s">
        <v>472</v>
      </c>
      <c r="M112" s="20" t="n">
        <v>163200</v>
      </c>
      <c r="N112" s="14" t="s">
        <v>29</v>
      </c>
      <c r="O112" s="14" t="s">
        <v>60</v>
      </c>
      <c r="P112" s="12" t="s">
        <v>471</v>
      </c>
      <c r="Q112" s="24" t="s">
        <v>473</v>
      </c>
      <c r="R112" s="19" t="n">
        <v>71200</v>
      </c>
      <c r="S112" s="10" t="n">
        <f aca="false">R112-M112</f>
        <v>-92000</v>
      </c>
      <c r="T112" s="10"/>
      <c r="U112" s="19" t="n">
        <v>71200</v>
      </c>
      <c r="V112" s="13" t="s">
        <v>474</v>
      </c>
      <c r="W112" s="20" t="s">
        <v>55</v>
      </c>
      <c r="X112" s="10"/>
      <c r="Y112" s="10"/>
      <c r="Z112" s="20" t="n">
        <v>30000</v>
      </c>
      <c r="AA112" s="20" t="n">
        <v>41200</v>
      </c>
    </row>
    <row r="113" customFormat="false" ht="84" hidden="false" customHeight="true" outlineLevel="0" collapsed="false">
      <c r="A113" s="10"/>
      <c r="B113" s="11" t="s">
        <v>72</v>
      </c>
      <c r="C113" s="11" t="s">
        <v>149</v>
      </c>
      <c r="D113" s="12" t="s">
        <v>150</v>
      </c>
      <c r="E113" s="10"/>
      <c r="F113" s="10" t="n">
        <v>22</v>
      </c>
      <c r="G113" s="10" t="s">
        <v>475</v>
      </c>
      <c r="H113" s="12"/>
      <c r="I113" s="10"/>
      <c r="J113" s="10"/>
      <c r="K113" s="12"/>
      <c r="L113" s="12"/>
      <c r="M113" s="10"/>
      <c r="N113" s="10"/>
      <c r="O113" s="10"/>
      <c r="P113" s="23" t="s">
        <v>151</v>
      </c>
      <c r="Q113" s="12"/>
      <c r="R113" s="10"/>
      <c r="S113" s="10" t="n">
        <f aca="false">R113-M113</f>
        <v>0</v>
      </c>
      <c r="T113" s="10"/>
      <c r="U113" s="10"/>
      <c r="V113" s="12"/>
      <c r="W113" s="10"/>
      <c r="X113" s="10"/>
      <c r="Y113" s="10"/>
      <c r="Z113" s="10"/>
      <c r="AA113" s="10"/>
    </row>
    <row r="114" customFormat="false" ht="96.75" hidden="false" customHeight="true" outlineLevel="0" collapsed="false">
      <c r="A114" s="10"/>
      <c r="B114" s="11" t="s">
        <v>134</v>
      </c>
      <c r="C114" s="11" t="s">
        <v>476</v>
      </c>
      <c r="D114" s="12"/>
      <c r="E114" s="10"/>
      <c r="F114" s="10" t="n">
        <v>8</v>
      </c>
      <c r="G114" s="21" t="s">
        <v>477</v>
      </c>
      <c r="H114" s="13" t="s">
        <v>478</v>
      </c>
      <c r="I114" s="14" t="s">
        <v>29</v>
      </c>
      <c r="J114" s="14" t="s">
        <v>60</v>
      </c>
      <c r="K114" s="12"/>
      <c r="L114" s="12"/>
      <c r="M114" s="10"/>
      <c r="N114" s="17" t="s">
        <v>29</v>
      </c>
      <c r="O114" s="17" t="s">
        <v>60</v>
      </c>
      <c r="P114" s="15" t="s">
        <v>479</v>
      </c>
      <c r="Q114" s="16" t="s">
        <v>480</v>
      </c>
      <c r="R114" s="19" t="n">
        <v>3000</v>
      </c>
      <c r="S114" s="10" t="n">
        <f aca="false">R114-M114</f>
        <v>3000</v>
      </c>
      <c r="T114" s="10"/>
      <c r="U114" s="19" t="n">
        <f aca="false">R114</f>
        <v>3000</v>
      </c>
      <c r="V114" s="22" t="s">
        <v>481</v>
      </c>
      <c r="W114" s="20" t="s">
        <v>128</v>
      </c>
      <c r="X114" s="21" t="n">
        <v>0</v>
      </c>
      <c r="Y114" s="21" t="n">
        <v>1500</v>
      </c>
      <c r="Z114" s="21" t="n">
        <v>1500</v>
      </c>
      <c r="AA114" s="21" t="n">
        <v>0</v>
      </c>
    </row>
    <row r="115" customFormat="false" ht="424.5" hidden="false" customHeight="true" outlineLevel="0" collapsed="false">
      <c r="A115" s="10"/>
      <c r="B115" s="11" t="s">
        <v>24</v>
      </c>
      <c r="C115" s="11" t="s">
        <v>482</v>
      </c>
      <c r="D115" s="12" t="s">
        <v>99</v>
      </c>
      <c r="E115" s="10"/>
      <c r="F115" s="10" t="n">
        <v>7</v>
      </c>
      <c r="G115" s="10" t="s">
        <v>483</v>
      </c>
      <c r="H115" s="12" t="s">
        <v>484</v>
      </c>
      <c r="I115" s="14" t="s">
        <v>33</v>
      </c>
      <c r="J115" s="14" t="s">
        <v>95</v>
      </c>
      <c r="K115" s="12" t="s">
        <v>485</v>
      </c>
      <c r="L115" s="16" t="s">
        <v>486</v>
      </c>
      <c r="M115" s="10" t="n">
        <v>1600</v>
      </c>
      <c r="N115" s="17" t="s">
        <v>33</v>
      </c>
      <c r="O115" s="17" t="s">
        <v>50</v>
      </c>
      <c r="P115" s="18" t="s">
        <v>485</v>
      </c>
      <c r="Q115" s="18" t="s">
        <v>487</v>
      </c>
      <c r="R115" s="19" t="n">
        <v>5600</v>
      </c>
      <c r="S115" s="10" t="n">
        <f aca="false">R115-M115</f>
        <v>4000</v>
      </c>
      <c r="T115" s="10"/>
      <c r="U115" s="19" t="n">
        <f aca="false">R115</f>
        <v>5600</v>
      </c>
      <c r="V115" s="22" t="s">
        <v>488</v>
      </c>
      <c r="W115" s="20" t="s">
        <v>55</v>
      </c>
      <c r="X115" s="21" t="n">
        <v>0</v>
      </c>
      <c r="Y115" s="21" t="n">
        <v>0</v>
      </c>
      <c r="Z115" s="21" t="n">
        <v>0</v>
      </c>
      <c r="AA115" s="21" t="n">
        <v>5600</v>
      </c>
    </row>
    <row r="116" customFormat="false" ht="185.25" hidden="false" customHeight="true" outlineLevel="0" collapsed="false">
      <c r="A116" s="10"/>
      <c r="B116" s="11" t="s">
        <v>24</v>
      </c>
      <c r="C116" s="11" t="s">
        <v>489</v>
      </c>
      <c r="D116" s="12" t="s">
        <v>99</v>
      </c>
      <c r="E116" s="10"/>
      <c r="F116" s="10" t="n">
        <v>16</v>
      </c>
      <c r="G116" s="10" t="s">
        <v>483</v>
      </c>
      <c r="H116" s="12" t="s">
        <v>484</v>
      </c>
      <c r="I116" s="14" t="s">
        <v>33</v>
      </c>
      <c r="J116" s="14" t="s">
        <v>95</v>
      </c>
      <c r="K116" s="12" t="s">
        <v>490</v>
      </c>
      <c r="L116" s="16" t="s">
        <v>491</v>
      </c>
      <c r="M116" s="10" t="n">
        <v>800</v>
      </c>
      <c r="N116" s="17" t="s">
        <v>33</v>
      </c>
      <c r="O116" s="17" t="s">
        <v>50</v>
      </c>
      <c r="P116" s="18" t="s">
        <v>490</v>
      </c>
      <c r="Q116" s="18" t="s">
        <v>492</v>
      </c>
      <c r="R116" s="19" t="n">
        <v>805</v>
      </c>
      <c r="S116" s="10" t="n">
        <f aca="false">R116-M116</f>
        <v>5</v>
      </c>
      <c r="T116" s="10"/>
      <c r="U116" s="19" t="n">
        <f aca="false">R116</f>
        <v>805</v>
      </c>
      <c r="V116" s="12"/>
      <c r="W116" s="20" t="s">
        <v>55</v>
      </c>
      <c r="X116" s="21" t="n">
        <v>0</v>
      </c>
      <c r="Y116" s="21" t="n">
        <v>0</v>
      </c>
      <c r="Z116" s="21" t="n">
        <v>805</v>
      </c>
      <c r="AA116" s="21" t="n">
        <v>0</v>
      </c>
    </row>
    <row r="117" customFormat="false" ht="185.25" hidden="false" customHeight="true" outlineLevel="0" collapsed="false">
      <c r="A117" s="10"/>
      <c r="B117" s="11" t="s">
        <v>24</v>
      </c>
      <c r="C117" s="11" t="s">
        <v>493</v>
      </c>
      <c r="D117" s="12" t="s">
        <v>99</v>
      </c>
      <c r="E117" s="10"/>
      <c r="F117" s="10" t="n">
        <v>39</v>
      </c>
      <c r="G117" s="10" t="s">
        <v>483</v>
      </c>
      <c r="H117" s="12" t="s">
        <v>484</v>
      </c>
      <c r="I117" s="14" t="s">
        <v>33</v>
      </c>
      <c r="J117" s="14" t="s">
        <v>95</v>
      </c>
      <c r="K117" s="12" t="s">
        <v>494</v>
      </c>
      <c r="L117" s="16" t="s">
        <v>491</v>
      </c>
      <c r="M117" s="10" t="n">
        <v>800</v>
      </c>
      <c r="N117" s="17" t="s">
        <v>33</v>
      </c>
      <c r="O117" s="17" t="s">
        <v>50</v>
      </c>
      <c r="P117" s="18" t="s">
        <v>494</v>
      </c>
      <c r="Q117" s="18" t="s">
        <v>495</v>
      </c>
      <c r="R117" s="19" t="n">
        <v>800</v>
      </c>
      <c r="S117" s="10" t="n">
        <f aca="false">R117-M117</f>
        <v>0</v>
      </c>
      <c r="T117" s="10"/>
      <c r="U117" s="19" t="n">
        <f aca="false">R117</f>
        <v>800</v>
      </c>
      <c r="V117" s="12"/>
      <c r="W117" s="20" t="s">
        <v>55</v>
      </c>
      <c r="X117" s="21" t="n">
        <v>0</v>
      </c>
      <c r="Y117" s="21" t="n">
        <v>0</v>
      </c>
      <c r="Z117" s="21" t="n">
        <v>800</v>
      </c>
      <c r="AA117" s="21" t="n">
        <v>0</v>
      </c>
    </row>
    <row r="118" customFormat="false" ht="54.75" hidden="false" customHeight="true" outlineLevel="0" collapsed="false">
      <c r="A118" s="10"/>
      <c r="B118" s="11" t="s">
        <v>72</v>
      </c>
      <c r="C118" s="11" t="s">
        <v>496</v>
      </c>
      <c r="D118" s="12"/>
      <c r="E118" s="10"/>
      <c r="F118" s="10" t="n">
        <v>57</v>
      </c>
      <c r="G118" s="10" t="s">
        <v>483</v>
      </c>
      <c r="H118" s="12"/>
      <c r="I118" s="10"/>
      <c r="J118" s="10"/>
      <c r="K118" s="12"/>
      <c r="L118" s="12"/>
      <c r="M118" s="10"/>
      <c r="N118" s="10"/>
      <c r="O118" s="10"/>
      <c r="P118" s="23" t="s">
        <v>497</v>
      </c>
      <c r="Q118" s="12"/>
      <c r="R118" s="10"/>
      <c r="S118" s="10" t="n">
        <f aca="false">R118-M118</f>
        <v>0</v>
      </c>
      <c r="T118" s="10"/>
      <c r="U118" s="10"/>
      <c r="V118" s="12"/>
      <c r="W118" s="10"/>
      <c r="X118" s="10"/>
      <c r="Y118" s="10"/>
      <c r="Z118" s="10"/>
      <c r="AA118" s="10"/>
    </row>
    <row r="119" customFormat="false" ht="96.75" hidden="false" customHeight="true" outlineLevel="0" collapsed="false">
      <c r="A119" s="10"/>
      <c r="B119" s="11" t="s">
        <v>181</v>
      </c>
      <c r="C119" s="11" t="s">
        <v>498</v>
      </c>
      <c r="D119" s="12"/>
      <c r="E119" s="10"/>
      <c r="F119" s="10" t="n">
        <v>3</v>
      </c>
      <c r="G119" s="10" t="s">
        <v>499</v>
      </c>
      <c r="H119" s="15" t="s">
        <v>500</v>
      </c>
      <c r="I119" s="14" t="s">
        <v>29</v>
      </c>
      <c r="J119" s="14" t="s">
        <v>456</v>
      </c>
      <c r="K119" s="12" t="s">
        <v>501</v>
      </c>
      <c r="L119" s="16" t="s">
        <v>502</v>
      </c>
      <c r="M119" s="20" t="n">
        <v>12000</v>
      </c>
      <c r="N119" s="14" t="s">
        <v>29</v>
      </c>
      <c r="O119" s="14" t="s">
        <v>456</v>
      </c>
      <c r="P119" s="12" t="s">
        <v>501</v>
      </c>
      <c r="Q119" s="16" t="s">
        <v>503</v>
      </c>
      <c r="R119" s="19" t="n">
        <v>16000</v>
      </c>
      <c r="S119" s="10" t="n">
        <f aca="false">R119-M119</f>
        <v>4000</v>
      </c>
      <c r="T119" s="10"/>
      <c r="U119" s="19" t="n">
        <f aca="false">R119</f>
        <v>16000</v>
      </c>
      <c r="V119" s="22" t="s">
        <v>504</v>
      </c>
      <c r="W119" s="20" t="s">
        <v>505</v>
      </c>
      <c r="X119" s="10"/>
      <c r="Y119" s="29" t="n">
        <v>8000</v>
      </c>
      <c r="Z119" s="29" t="n">
        <v>8000</v>
      </c>
      <c r="AA119" s="10"/>
    </row>
    <row r="120" customFormat="false" ht="123" hidden="false" customHeight="true" outlineLevel="0" collapsed="false">
      <c r="A120" s="10"/>
      <c r="B120" s="11" t="s">
        <v>72</v>
      </c>
      <c r="C120" s="11" t="s">
        <v>506</v>
      </c>
      <c r="D120" s="12" t="s">
        <v>327</v>
      </c>
      <c r="E120" s="10"/>
      <c r="F120" s="10" t="n">
        <v>13</v>
      </c>
      <c r="G120" s="10" t="s">
        <v>499</v>
      </c>
      <c r="H120" s="15" t="s">
        <v>507</v>
      </c>
      <c r="I120" s="14" t="s">
        <v>29</v>
      </c>
      <c r="J120" s="28" t="s">
        <v>95</v>
      </c>
      <c r="K120" s="12" t="s">
        <v>508</v>
      </c>
      <c r="L120" s="24" t="s">
        <v>509</v>
      </c>
      <c r="M120" s="20" t="n">
        <v>600</v>
      </c>
      <c r="N120" s="14" t="s">
        <v>29</v>
      </c>
      <c r="O120" s="28" t="s">
        <v>95</v>
      </c>
      <c r="P120" s="12" t="s">
        <v>508</v>
      </c>
      <c r="Q120" s="24" t="s">
        <v>510</v>
      </c>
      <c r="R120" s="19" t="n">
        <v>600</v>
      </c>
      <c r="S120" s="10" t="n">
        <f aca="false">R120-M120</f>
        <v>0</v>
      </c>
      <c r="T120" s="10"/>
      <c r="U120" s="19" t="n">
        <f aca="false">R120</f>
        <v>600</v>
      </c>
      <c r="V120" s="12"/>
      <c r="W120" s="20" t="s">
        <v>511</v>
      </c>
      <c r="X120" s="29" t="n">
        <v>150</v>
      </c>
      <c r="Y120" s="29" t="n">
        <v>150</v>
      </c>
      <c r="Z120" s="29" t="n">
        <v>150</v>
      </c>
      <c r="AA120" s="29" t="n">
        <v>150</v>
      </c>
    </row>
    <row r="121" customFormat="false" ht="139.5" hidden="false" customHeight="true" outlineLevel="0" collapsed="false">
      <c r="A121" s="10"/>
      <c r="B121" s="11" t="s">
        <v>72</v>
      </c>
      <c r="C121" s="11" t="s">
        <v>512</v>
      </c>
      <c r="D121" s="12" t="s">
        <v>513</v>
      </c>
      <c r="E121" s="10"/>
      <c r="F121" s="10" t="n">
        <v>31</v>
      </c>
      <c r="G121" s="10" t="s">
        <v>499</v>
      </c>
      <c r="H121" s="15" t="s">
        <v>500</v>
      </c>
      <c r="I121" s="14" t="s">
        <v>29</v>
      </c>
      <c r="J121" s="28" t="s">
        <v>263</v>
      </c>
      <c r="K121" s="12" t="s">
        <v>514</v>
      </c>
      <c r="L121" s="16" t="s">
        <v>515</v>
      </c>
      <c r="M121" s="20" t="n">
        <v>600</v>
      </c>
      <c r="N121" s="14" t="s">
        <v>29</v>
      </c>
      <c r="O121" s="28" t="s">
        <v>263</v>
      </c>
      <c r="P121" s="12" t="s">
        <v>514</v>
      </c>
      <c r="Q121" s="16" t="s">
        <v>515</v>
      </c>
      <c r="R121" s="19" t="n">
        <v>600</v>
      </c>
      <c r="S121" s="10" t="n">
        <f aca="false">R121-M121</f>
        <v>0</v>
      </c>
      <c r="T121" s="10"/>
      <c r="U121" s="19" t="n">
        <f aca="false">R121</f>
        <v>600</v>
      </c>
      <c r="V121" s="12"/>
      <c r="W121" s="20" t="s">
        <v>511</v>
      </c>
      <c r="X121" s="29" t="n">
        <v>150</v>
      </c>
      <c r="Y121" s="29" t="n">
        <v>150</v>
      </c>
      <c r="Z121" s="29" t="n">
        <v>150</v>
      </c>
      <c r="AA121" s="29" t="n">
        <v>150</v>
      </c>
    </row>
    <row r="122" customFormat="false" ht="151.5" hidden="false" customHeight="true" outlineLevel="0" collapsed="false">
      <c r="A122" s="10"/>
      <c r="B122" s="11" t="s">
        <v>72</v>
      </c>
      <c r="C122" s="11" t="s">
        <v>516</v>
      </c>
      <c r="D122" s="12" t="s">
        <v>513</v>
      </c>
      <c r="E122" s="10"/>
      <c r="F122" s="10" t="n">
        <v>32</v>
      </c>
      <c r="G122" s="10" t="s">
        <v>499</v>
      </c>
      <c r="H122" s="15" t="s">
        <v>500</v>
      </c>
      <c r="I122" s="14" t="s">
        <v>29</v>
      </c>
      <c r="J122" s="28" t="s">
        <v>263</v>
      </c>
      <c r="K122" s="12" t="s">
        <v>517</v>
      </c>
      <c r="L122" s="16" t="s">
        <v>518</v>
      </c>
      <c r="M122" s="20" t="n">
        <v>12300</v>
      </c>
      <c r="N122" s="14" t="s">
        <v>29</v>
      </c>
      <c r="O122" s="28" t="s">
        <v>263</v>
      </c>
      <c r="P122" s="12" t="s">
        <v>519</v>
      </c>
      <c r="Q122" s="16" t="s">
        <v>520</v>
      </c>
      <c r="R122" s="19" t="n">
        <v>12300</v>
      </c>
      <c r="S122" s="10" t="n">
        <f aca="false">R122-M122</f>
        <v>0</v>
      </c>
      <c r="T122" s="10"/>
      <c r="U122" s="19" t="n">
        <f aca="false">R122</f>
        <v>12300</v>
      </c>
      <c r="V122" s="12"/>
      <c r="W122" s="20" t="s">
        <v>505</v>
      </c>
      <c r="X122" s="29" t="n">
        <v>4100</v>
      </c>
      <c r="Y122" s="29" t="n">
        <v>4100</v>
      </c>
      <c r="Z122" s="29" t="n">
        <v>4100</v>
      </c>
      <c r="AA122" s="10"/>
    </row>
    <row r="123" customFormat="false" ht="240" hidden="false" customHeight="true" outlineLevel="0" collapsed="false">
      <c r="A123" s="10"/>
      <c r="B123" s="11" t="s">
        <v>72</v>
      </c>
      <c r="C123" s="11" t="s">
        <v>521</v>
      </c>
      <c r="D123" s="12" t="s">
        <v>308</v>
      </c>
      <c r="E123" s="10"/>
      <c r="F123" s="10" t="n">
        <v>34</v>
      </c>
      <c r="G123" s="10" t="s">
        <v>499</v>
      </c>
      <c r="H123" s="15" t="s">
        <v>500</v>
      </c>
      <c r="I123" s="14" t="s">
        <v>29</v>
      </c>
      <c r="J123" s="14" t="s">
        <v>92</v>
      </c>
      <c r="K123" s="12" t="s">
        <v>522</v>
      </c>
      <c r="L123" s="24" t="s">
        <v>523</v>
      </c>
      <c r="M123" s="20" t="n">
        <v>27020</v>
      </c>
      <c r="N123" s="14" t="s">
        <v>29</v>
      </c>
      <c r="O123" s="14" t="s">
        <v>92</v>
      </c>
      <c r="P123" s="12" t="s">
        <v>522</v>
      </c>
      <c r="Q123" s="24" t="s">
        <v>523</v>
      </c>
      <c r="R123" s="19" t="n">
        <v>27020</v>
      </c>
      <c r="S123" s="10" t="n">
        <f aca="false">R123-M123</f>
        <v>0</v>
      </c>
      <c r="T123" s="10"/>
      <c r="U123" s="19" t="n">
        <f aca="false">R123</f>
        <v>27020</v>
      </c>
      <c r="V123" s="12"/>
      <c r="W123" s="20" t="s">
        <v>505</v>
      </c>
      <c r="X123" s="29" t="n">
        <v>8000</v>
      </c>
      <c r="Y123" s="29" t="n">
        <v>12000</v>
      </c>
      <c r="Z123" s="29" t="n">
        <v>7020</v>
      </c>
      <c r="AA123" s="10"/>
    </row>
    <row r="124" customFormat="false" ht="139.5" hidden="false" customHeight="true" outlineLevel="0" collapsed="false">
      <c r="A124" s="10"/>
      <c r="B124" s="11" t="s">
        <v>72</v>
      </c>
      <c r="C124" s="11" t="s">
        <v>524</v>
      </c>
      <c r="D124" s="12" t="s">
        <v>513</v>
      </c>
      <c r="E124" s="10"/>
      <c r="F124" s="10" t="n">
        <v>38</v>
      </c>
      <c r="G124" s="10" t="s">
        <v>499</v>
      </c>
      <c r="H124" s="15" t="s">
        <v>500</v>
      </c>
      <c r="I124" s="14" t="s">
        <v>29</v>
      </c>
      <c r="J124" s="28" t="s">
        <v>263</v>
      </c>
      <c r="K124" s="12" t="s">
        <v>525</v>
      </c>
      <c r="L124" s="16" t="s">
        <v>526</v>
      </c>
      <c r="M124" s="20" t="n">
        <v>31500</v>
      </c>
      <c r="N124" s="14" t="s">
        <v>29</v>
      </c>
      <c r="O124" s="28" t="s">
        <v>263</v>
      </c>
      <c r="P124" s="12" t="s">
        <v>525</v>
      </c>
      <c r="Q124" s="16" t="s">
        <v>527</v>
      </c>
      <c r="R124" s="19" t="n">
        <v>31500</v>
      </c>
      <c r="S124" s="10" t="n">
        <f aca="false">R124-M124</f>
        <v>0</v>
      </c>
      <c r="T124" s="10"/>
      <c r="U124" s="19" t="n">
        <f aca="false">R124</f>
        <v>31500</v>
      </c>
      <c r="V124" s="12"/>
      <c r="W124" s="20" t="s">
        <v>511</v>
      </c>
      <c r="X124" s="29" t="n">
        <v>7875</v>
      </c>
      <c r="Y124" s="29" t="n">
        <v>7875</v>
      </c>
      <c r="Z124" s="29" t="n">
        <v>7875</v>
      </c>
      <c r="AA124" s="29" t="n">
        <v>7875</v>
      </c>
    </row>
    <row r="125" customFormat="false" ht="99" hidden="false" customHeight="true" outlineLevel="0" collapsed="false">
      <c r="A125" s="10"/>
      <c r="B125" s="11" t="s">
        <v>72</v>
      </c>
      <c r="C125" s="11" t="s">
        <v>506</v>
      </c>
      <c r="D125" s="12" t="s">
        <v>327</v>
      </c>
      <c r="E125" s="10"/>
      <c r="F125" s="10" t="n">
        <v>63</v>
      </c>
      <c r="G125" s="10" t="s">
        <v>499</v>
      </c>
      <c r="H125" s="12"/>
      <c r="I125" s="10"/>
      <c r="J125" s="10"/>
      <c r="K125" s="12"/>
      <c r="L125" s="12"/>
      <c r="M125" s="10"/>
      <c r="N125" s="10"/>
      <c r="O125" s="11" t="s">
        <v>81</v>
      </c>
      <c r="P125" s="12" t="s">
        <v>508</v>
      </c>
      <c r="Q125" s="12"/>
      <c r="R125" s="10"/>
      <c r="S125" s="10" t="n">
        <f aca="false">R125-M125</f>
        <v>0</v>
      </c>
      <c r="T125" s="10"/>
      <c r="U125" s="10"/>
      <c r="V125" s="12"/>
      <c r="W125" s="10"/>
      <c r="X125" s="10"/>
      <c r="Y125" s="10"/>
      <c r="Z125" s="10"/>
      <c r="AA125" s="10"/>
    </row>
    <row r="126" customFormat="false" ht="139.5" hidden="false" customHeight="true" outlineLevel="0" collapsed="false">
      <c r="A126" s="10"/>
      <c r="B126" s="11" t="s">
        <v>72</v>
      </c>
      <c r="C126" s="11" t="s">
        <v>524</v>
      </c>
      <c r="D126" s="12" t="s">
        <v>513</v>
      </c>
      <c r="E126" s="10"/>
      <c r="F126" s="10" t="n">
        <v>64</v>
      </c>
      <c r="G126" s="10" t="s">
        <v>499</v>
      </c>
      <c r="H126" s="12"/>
      <c r="I126" s="10"/>
      <c r="J126" s="10"/>
      <c r="K126" s="12"/>
      <c r="L126" s="12"/>
      <c r="M126" s="10"/>
      <c r="N126" s="10"/>
      <c r="O126" s="17" t="s">
        <v>263</v>
      </c>
      <c r="P126" s="23" t="s">
        <v>528</v>
      </c>
      <c r="Q126" s="18" t="s">
        <v>529</v>
      </c>
      <c r="R126" s="19" t="n">
        <f aca="false">438*4*250000/1000</f>
        <v>438000</v>
      </c>
      <c r="S126" s="10" t="n">
        <f aca="false">R126-M126</f>
        <v>438000</v>
      </c>
      <c r="T126" s="10"/>
      <c r="U126" s="10"/>
      <c r="V126" s="12"/>
      <c r="W126" s="10"/>
      <c r="X126" s="10"/>
      <c r="Y126" s="10"/>
      <c r="Z126" s="10"/>
      <c r="AA126" s="10"/>
    </row>
    <row r="127" customFormat="false" ht="27.75" hidden="false" customHeight="true" outlineLevel="0" collapsed="false">
      <c r="A127" s="10"/>
      <c r="B127" s="11" t="s">
        <v>72</v>
      </c>
      <c r="C127" s="11" t="s">
        <v>530</v>
      </c>
      <c r="D127" s="12"/>
      <c r="E127" s="10"/>
      <c r="F127" s="10" t="n">
        <v>117</v>
      </c>
      <c r="G127" s="10" t="s">
        <v>531</v>
      </c>
      <c r="H127" s="12"/>
      <c r="I127" s="10"/>
      <c r="J127" s="10"/>
      <c r="K127" s="12"/>
      <c r="L127" s="12"/>
      <c r="M127" s="10"/>
      <c r="N127" s="10"/>
      <c r="O127" s="17" t="s">
        <v>95</v>
      </c>
      <c r="P127" s="23" t="s">
        <v>532</v>
      </c>
      <c r="Q127" s="12"/>
      <c r="R127" s="10"/>
      <c r="S127" s="10" t="n">
        <f aca="false">R127-M127</f>
        <v>0</v>
      </c>
      <c r="T127" s="10"/>
      <c r="U127" s="10"/>
      <c r="V127" s="12"/>
      <c r="W127" s="10"/>
      <c r="X127" s="10"/>
      <c r="Y127" s="10"/>
      <c r="Z127" s="10"/>
      <c r="AA127" s="10"/>
    </row>
    <row r="128" customFormat="false" ht="54.75" hidden="false" customHeight="true" outlineLevel="0" collapsed="false">
      <c r="A128" s="10"/>
      <c r="B128" s="11" t="s">
        <v>72</v>
      </c>
      <c r="C128" s="11" t="s">
        <v>530</v>
      </c>
      <c r="D128" s="12"/>
      <c r="E128" s="10"/>
      <c r="F128" s="10" t="n">
        <v>118</v>
      </c>
      <c r="G128" s="10" t="s">
        <v>531</v>
      </c>
      <c r="H128" s="12"/>
      <c r="I128" s="10"/>
      <c r="J128" s="10"/>
      <c r="K128" s="12"/>
      <c r="L128" s="12"/>
      <c r="M128" s="10"/>
      <c r="N128" s="10"/>
      <c r="O128" s="17" t="s">
        <v>60</v>
      </c>
      <c r="P128" s="23" t="s">
        <v>533</v>
      </c>
      <c r="Q128" s="12"/>
      <c r="R128" s="10"/>
      <c r="S128" s="10" t="n">
        <f aca="false">R128-M128</f>
        <v>0</v>
      </c>
      <c r="T128" s="10"/>
      <c r="U128" s="10"/>
      <c r="V128" s="12"/>
      <c r="W128" s="10"/>
      <c r="X128" s="10"/>
      <c r="Y128" s="10"/>
      <c r="Z128" s="10"/>
      <c r="AA128" s="10"/>
    </row>
    <row r="129" customFormat="false" ht="96" hidden="false" customHeight="true" outlineLevel="0" collapsed="false">
      <c r="A129" s="10"/>
      <c r="B129" s="11" t="s">
        <v>24</v>
      </c>
      <c r="C129" s="11" t="s">
        <v>534</v>
      </c>
      <c r="D129" s="12" t="s">
        <v>535</v>
      </c>
      <c r="E129" s="10"/>
      <c r="F129" s="10" t="n">
        <v>8</v>
      </c>
      <c r="G129" s="10" t="s">
        <v>536</v>
      </c>
      <c r="H129" s="13" t="s">
        <v>537</v>
      </c>
      <c r="I129" s="14" t="s">
        <v>29</v>
      </c>
      <c r="J129" s="14" t="s">
        <v>95</v>
      </c>
      <c r="K129" s="12" t="s">
        <v>538</v>
      </c>
      <c r="L129" s="24" t="s">
        <v>539</v>
      </c>
      <c r="M129" s="20" t="n">
        <v>480</v>
      </c>
      <c r="N129" s="17" t="s">
        <v>29</v>
      </c>
      <c r="O129" s="17" t="s">
        <v>95</v>
      </c>
      <c r="P129" s="18" t="s">
        <v>538</v>
      </c>
      <c r="Q129" s="18" t="s">
        <v>540</v>
      </c>
      <c r="R129" s="19" t="n">
        <v>720</v>
      </c>
      <c r="S129" s="10" t="n">
        <f aca="false">R129-M129</f>
        <v>240</v>
      </c>
      <c r="T129" s="10"/>
      <c r="U129" s="19" t="n">
        <v>720</v>
      </c>
      <c r="V129" s="22" t="s">
        <v>541</v>
      </c>
      <c r="W129" s="20" t="s">
        <v>55</v>
      </c>
      <c r="X129" s="10"/>
      <c r="Y129" s="10"/>
      <c r="Z129" s="21" t="n">
        <v>360</v>
      </c>
      <c r="AA129" s="21" t="n">
        <v>360</v>
      </c>
    </row>
    <row r="130" customFormat="false" ht="240" hidden="false" customHeight="true" outlineLevel="0" collapsed="false">
      <c r="A130" s="10"/>
      <c r="B130" s="11" t="s">
        <v>72</v>
      </c>
      <c r="C130" s="11" t="s">
        <v>542</v>
      </c>
      <c r="D130" s="12"/>
      <c r="E130" s="10"/>
      <c r="F130" s="10" t="n">
        <v>18</v>
      </c>
      <c r="G130" s="21" t="s">
        <v>536</v>
      </c>
      <c r="H130" s="13" t="s">
        <v>543</v>
      </c>
      <c r="I130" s="14" t="s">
        <v>29</v>
      </c>
      <c r="J130" s="14" t="s">
        <v>544</v>
      </c>
      <c r="K130" s="12" t="s">
        <v>545</v>
      </c>
      <c r="L130" s="15" t="s">
        <v>546</v>
      </c>
      <c r="M130" s="20" t="n">
        <v>8275.482</v>
      </c>
      <c r="N130" s="17" t="s">
        <v>29</v>
      </c>
      <c r="O130" s="17" t="str">
        <f aca="false">J130</f>
        <v>국외업무여비</v>
      </c>
      <c r="P130" s="12" t="s">
        <v>547</v>
      </c>
      <c r="Q130" s="15" t="s">
        <v>546</v>
      </c>
      <c r="R130" s="20" t="n">
        <v>8275.482</v>
      </c>
      <c r="S130" s="10" t="n">
        <f aca="false">R130-M130</f>
        <v>0</v>
      </c>
      <c r="T130" s="10"/>
      <c r="U130" s="20" t="n">
        <v>8275.482</v>
      </c>
      <c r="V130" s="12"/>
      <c r="W130" s="20" t="s">
        <v>55</v>
      </c>
      <c r="X130" s="10"/>
      <c r="Y130" s="21" t="n">
        <f aca="false">R130</f>
        <v>8275.482</v>
      </c>
      <c r="Z130" s="10"/>
      <c r="AA130" s="10"/>
    </row>
    <row r="131" customFormat="false" ht="268.5" hidden="false" customHeight="true" outlineLevel="0" collapsed="false">
      <c r="A131" s="10"/>
      <c r="B131" s="11" t="s">
        <v>72</v>
      </c>
      <c r="C131" s="11" t="s">
        <v>548</v>
      </c>
      <c r="D131" s="12"/>
      <c r="E131" s="10"/>
      <c r="F131" s="10" t="n">
        <v>19</v>
      </c>
      <c r="G131" s="21" t="s">
        <v>536</v>
      </c>
      <c r="H131" s="13" t="s">
        <v>543</v>
      </c>
      <c r="I131" s="14" t="s">
        <v>29</v>
      </c>
      <c r="J131" s="14" t="s">
        <v>544</v>
      </c>
      <c r="K131" s="12" t="s">
        <v>549</v>
      </c>
      <c r="L131" s="15" t="s">
        <v>550</v>
      </c>
      <c r="M131" s="20" t="n">
        <v>3709.85</v>
      </c>
      <c r="N131" s="17" t="s">
        <v>29</v>
      </c>
      <c r="O131" s="17" t="str">
        <f aca="false">J131</f>
        <v>국외업무여비</v>
      </c>
      <c r="P131" s="12" t="s">
        <v>549</v>
      </c>
      <c r="Q131" s="15" t="s">
        <v>550</v>
      </c>
      <c r="R131" s="20" t="n">
        <v>3709.85</v>
      </c>
      <c r="S131" s="10" t="n">
        <f aca="false">R131-M131</f>
        <v>0</v>
      </c>
      <c r="T131" s="10"/>
      <c r="U131" s="20" t="n">
        <v>3709.85</v>
      </c>
      <c r="V131" s="12"/>
      <c r="W131" s="20" t="s">
        <v>55</v>
      </c>
      <c r="X131" s="10"/>
      <c r="Y131" s="10"/>
      <c r="Z131" s="21" t="n">
        <f aca="false">R131</f>
        <v>3709.85</v>
      </c>
      <c r="AA131" s="10"/>
    </row>
    <row r="132" customFormat="false" ht="240" hidden="false" customHeight="true" outlineLevel="0" collapsed="false">
      <c r="A132" s="10"/>
      <c r="B132" s="11" t="s">
        <v>72</v>
      </c>
      <c r="C132" s="11" t="s">
        <v>542</v>
      </c>
      <c r="D132" s="12"/>
      <c r="E132" s="10"/>
      <c r="F132" s="10" t="n">
        <v>20</v>
      </c>
      <c r="G132" s="21" t="s">
        <v>536</v>
      </c>
      <c r="H132" s="13" t="s">
        <v>543</v>
      </c>
      <c r="I132" s="14" t="s">
        <v>29</v>
      </c>
      <c r="J132" s="14" t="s">
        <v>544</v>
      </c>
      <c r="K132" s="12" t="s">
        <v>551</v>
      </c>
      <c r="L132" s="15" t="s">
        <v>552</v>
      </c>
      <c r="M132" s="20" t="n">
        <v>8275.482</v>
      </c>
      <c r="N132" s="17" t="s">
        <v>29</v>
      </c>
      <c r="O132" s="17" t="str">
        <f aca="false">J132</f>
        <v>국외업무여비</v>
      </c>
      <c r="P132" s="12" t="s">
        <v>551</v>
      </c>
      <c r="Q132" s="15" t="s">
        <v>552</v>
      </c>
      <c r="R132" s="20" t="n">
        <v>8275.482</v>
      </c>
      <c r="S132" s="10" t="n">
        <f aca="false">R132-M132</f>
        <v>0</v>
      </c>
      <c r="T132" s="10"/>
      <c r="U132" s="20" t="n">
        <v>8275.482</v>
      </c>
      <c r="V132" s="12"/>
      <c r="W132" s="20" t="s">
        <v>55</v>
      </c>
      <c r="X132" s="10"/>
      <c r="Y132" s="10"/>
      <c r="Z132" s="10"/>
      <c r="AA132" s="21" t="n">
        <f aca="false">R132</f>
        <v>8275.482</v>
      </c>
    </row>
    <row r="133" customFormat="false" ht="96" hidden="false" customHeight="true" outlineLevel="0" collapsed="false">
      <c r="A133" s="10"/>
      <c r="B133" s="11" t="s">
        <v>24</v>
      </c>
      <c r="C133" s="11" t="s">
        <v>534</v>
      </c>
      <c r="D133" s="12" t="s">
        <v>535</v>
      </c>
      <c r="E133" s="10"/>
      <c r="F133" s="10" t="n">
        <v>30</v>
      </c>
      <c r="G133" s="10" t="s">
        <v>536</v>
      </c>
      <c r="H133" s="13" t="s">
        <v>537</v>
      </c>
      <c r="I133" s="14" t="s">
        <v>29</v>
      </c>
      <c r="J133" s="14" t="s">
        <v>95</v>
      </c>
      <c r="K133" s="12" t="s">
        <v>553</v>
      </c>
      <c r="L133" s="24" t="s">
        <v>554</v>
      </c>
      <c r="M133" s="20" t="n">
        <v>1460</v>
      </c>
      <c r="N133" s="17" t="s">
        <v>29</v>
      </c>
      <c r="O133" s="17" t="s">
        <v>95</v>
      </c>
      <c r="P133" s="18" t="s">
        <v>553</v>
      </c>
      <c r="Q133" s="18" t="s">
        <v>555</v>
      </c>
      <c r="R133" s="19" t="n">
        <v>1350</v>
      </c>
      <c r="S133" s="10" t="n">
        <f aca="false">R133-M133</f>
        <v>-110</v>
      </c>
      <c r="T133" s="10"/>
      <c r="U133" s="19" t="n">
        <v>1350</v>
      </c>
      <c r="V133" s="12"/>
      <c r="W133" s="20" t="s">
        <v>55</v>
      </c>
      <c r="X133" s="21" t="n">
        <v>450</v>
      </c>
      <c r="Y133" s="21" t="n">
        <v>450</v>
      </c>
      <c r="Z133" s="21" t="n">
        <v>450</v>
      </c>
      <c r="AA133" s="10"/>
    </row>
    <row r="134" customFormat="false" ht="128.25" hidden="false" customHeight="true" outlineLevel="0" collapsed="false">
      <c r="A134" s="10"/>
      <c r="B134" s="11" t="s">
        <v>72</v>
      </c>
      <c r="C134" s="11" t="s">
        <v>556</v>
      </c>
      <c r="D134" s="12" t="s">
        <v>535</v>
      </c>
      <c r="E134" s="10"/>
      <c r="F134" s="10" t="n">
        <v>33</v>
      </c>
      <c r="G134" s="10" t="s">
        <v>536</v>
      </c>
      <c r="H134" s="13" t="s">
        <v>537</v>
      </c>
      <c r="I134" s="14" t="s">
        <v>29</v>
      </c>
      <c r="J134" s="14" t="s">
        <v>95</v>
      </c>
      <c r="K134" s="12" t="s">
        <v>557</v>
      </c>
      <c r="L134" s="24" t="s">
        <v>558</v>
      </c>
      <c r="M134" s="20" t="n">
        <v>3240</v>
      </c>
      <c r="N134" s="17" t="s">
        <v>29</v>
      </c>
      <c r="O134" s="17" t="s">
        <v>95</v>
      </c>
      <c r="P134" s="18" t="s">
        <v>557</v>
      </c>
      <c r="Q134" s="18" t="s">
        <v>559</v>
      </c>
      <c r="R134" s="19" t="n">
        <v>3000</v>
      </c>
      <c r="S134" s="10" t="n">
        <f aca="false">R134-M134</f>
        <v>-240</v>
      </c>
      <c r="T134" s="10"/>
      <c r="U134" s="19" t="n">
        <v>3000</v>
      </c>
      <c r="V134" s="12"/>
      <c r="W134" s="20" t="s">
        <v>55</v>
      </c>
      <c r="X134" s="21" t="n">
        <v>750</v>
      </c>
      <c r="Y134" s="21" t="n">
        <v>750</v>
      </c>
      <c r="Z134" s="21" t="n">
        <v>750</v>
      </c>
      <c r="AA134" s="21" t="n">
        <v>750</v>
      </c>
    </row>
    <row r="135" customFormat="false" ht="137.25" hidden="false" customHeight="true" outlineLevel="0" collapsed="false">
      <c r="A135" s="10"/>
      <c r="B135" s="11" t="s">
        <v>72</v>
      </c>
      <c r="C135" s="11" t="s">
        <v>560</v>
      </c>
      <c r="D135" s="12"/>
      <c r="E135" s="10"/>
      <c r="F135" s="10" t="n">
        <v>34</v>
      </c>
      <c r="G135" s="21" t="s">
        <v>536</v>
      </c>
      <c r="H135" s="13" t="s">
        <v>543</v>
      </c>
      <c r="I135" s="14" t="s">
        <v>29</v>
      </c>
      <c r="J135" s="14" t="s">
        <v>95</v>
      </c>
      <c r="K135" s="12" t="s">
        <v>561</v>
      </c>
      <c r="L135" s="15" t="s">
        <v>562</v>
      </c>
      <c r="M135" s="20" t="n">
        <v>1000</v>
      </c>
      <c r="N135" s="17" t="s">
        <v>29</v>
      </c>
      <c r="O135" s="14" t="s">
        <v>95</v>
      </c>
      <c r="P135" s="12" t="s">
        <v>561</v>
      </c>
      <c r="Q135" s="18" t="s">
        <v>563</v>
      </c>
      <c r="R135" s="19" t="n">
        <v>750</v>
      </c>
      <c r="S135" s="10" t="n">
        <f aca="false">R135-M135</f>
        <v>-250</v>
      </c>
      <c r="T135" s="10"/>
      <c r="U135" s="19" t="n">
        <v>750</v>
      </c>
      <c r="V135" s="12"/>
      <c r="W135" s="20" t="s">
        <v>55</v>
      </c>
      <c r="X135" s="10"/>
      <c r="Y135" s="10"/>
      <c r="Z135" s="21" t="n">
        <v>750</v>
      </c>
      <c r="AA135" s="10"/>
    </row>
    <row r="136" customFormat="false" ht="109.5" hidden="false" customHeight="true" outlineLevel="0" collapsed="false">
      <c r="A136" s="10"/>
      <c r="B136" s="11" t="s">
        <v>134</v>
      </c>
      <c r="C136" s="11" t="s">
        <v>564</v>
      </c>
      <c r="D136" s="12"/>
      <c r="E136" s="10"/>
      <c r="F136" s="10" t="n">
        <v>39</v>
      </c>
      <c r="G136" s="10" t="s">
        <v>536</v>
      </c>
      <c r="H136" s="13" t="s">
        <v>565</v>
      </c>
      <c r="I136" s="14" t="s">
        <v>29</v>
      </c>
      <c r="J136" s="14" t="s">
        <v>60</v>
      </c>
      <c r="K136" s="16" t="s">
        <v>566</v>
      </c>
      <c r="L136" s="16" t="s">
        <v>567</v>
      </c>
      <c r="M136" s="20" t="n">
        <v>2000</v>
      </c>
      <c r="N136" s="17" t="s">
        <v>29</v>
      </c>
      <c r="O136" s="14" t="s">
        <v>60</v>
      </c>
      <c r="P136" s="16" t="s">
        <v>568</v>
      </c>
      <c r="Q136" s="16" t="s">
        <v>569</v>
      </c>
      <c r="R136" s="20" t="n">
        <v>1470</v>
      </c>
      <c r="S136" s="10" t="n">
        <f aca="false">R136-M136</f>
        <v>-530</v>
      </c>
      <c r="T136" s="10"/>
      <c r="U136" s="20" t="n">
        <v>1470</v>
      </c>
      <c r="V136" s="12"/>
      <c r="W136" s="20" t="s">
        <v>55</v>
      </c>
      <c r="X136" s="10"/>
      <c r="Y136" s="21" t="n">
        <v>1470</v>
      </c>
      <c r="Z136" s="10"/>
      <c r="AA136" s="10"/>
    </row>
    <row r="137" customFormat="false" ht="109.5" hidden="false" customHeight="true" outlineLevel="0" collapsed="false">
      <c r="A137" s="10"/>
      <c r="B137" s="11" t="s">
        <v>134</v>
      </c>
      <c r="C137" s="11" t="s">
        <v>570</v>
      </c>
      <c r="D137" s="12"/>
      <c r="E137" s="10"/>
      <c r="F137" s="10" t="n">
        <v>46</v>
      </c>
      <c r="G137" s="10" t="s">
        <v>536</v>
      </c>
      <c r="H137" s="13" t="s">
        <v>565</v>
      </c>
      <c r="I137" s="14" t="s">
        <v>29</v>
      </c>
      <c r="J137" s="14" t="s">
        <v>60</v>
      </c>
      <c r="K137" s="16" t="s">
        <v>571</v>
      </c>
      <c r="L137" s="16" t="s">
        <v>572</v>
      </c>
      <c r="M137" s="20" t="n">
        <v>2000</v>
      </c>
      <c r="N137" s="17" t="s">
        <v>29</v>
      </c>
      <c r="O137" s="14" t="s">
        <v>60</v>
      </c>
      <c r="P137" s="16" t="s">
        <v>573</v>
      </c>
      <c r="Q137" s="16" t="s">
        <v>574</v>
      </c>
      <c r="R137" s="20" t="n">
        <v>800</v>
      </c>
      <c r="S137" s="10" t="n">
        <f aca="false">R137-M137</f>
        <v>-1200</v>
      </c>
      <c r="T137" s="10"/>
      <c r="U137" s="20" t="n">
        <v>800</v>
      </c>
      <c r="V137" s="12"/>
      <c r="W137" s="20" t="s">
        <v>55</v>
      </c>
      <c r="X137" s="10"/>
      <c r="Y137" s="10"/>
      <c r="Z137" s="10"/>
      <c r="AA137" s="21" t="n">
        <v>800</v>
      </c>
    </row>
    <row r="138" customFormat="false" ht="109.5" hidden="false" customHeight="true" outlineLevel="0" collapsed="false">
      <c r="A138" s="10"/>
      <c r="B138" s="11" t="s">
        <v>134</v>
      </c>
      <c r="C138" s="11" t="s">
        <v>575</v>
      </c>
      <c r="D138" s="12"/>
      <c r="E138" s="10"/>
      <c r="F138" s="10" t="n">
        <v>52</v>
      </c>
      <c r="G138" s="20" t="s">
        <v>536</v>
      </c>
      <c r="H138" s="13" t="s">
        <v>576</v>
      </c>
      <c r="I138" s="14" t="s">
        <v>29</v>
      </c>
      <c r="J138" s="14" t="s">
        <v>95</v>
      </c>
      <c r="K138" s="15" t="s">
        <v>577</v>
      </c>
      <c r="L138" s="16" t="s">
        <v>578</v>
      </c>
      <c r="M138" s="20" t="n">
        <v>2400</v>
      </c>
      <c r="N138" s="17" t="s">
        <v>29</v>
      </c>
      <c r="O138" s="17" t="s">
        <v>95</v>
      </c>
      <c r="P138" s="18" t="s">
        <v>577</v>
      </c>
      <c r="Q138" s="18" t="s">
        <v>579</v>
      </c>
      <c r="R138" s="19" t="n">
        <v>675</v>
      </c>
      <c r="S138" s="10" t="n">
        <f aca="false">R138-M138</f>
        <v>-1725</v>
      </c>
      <c r="T138" s="10"/>
      <c r="U138" s="19" t="n">
        <v>675</v>
      </c>
      <c r="V138" s="12"/>
      <c r="W138" s="20" t="s">
        <v>55</v>
      </c>
      <c r="X138" s="10"/>
      <c r="Y138" s="21" t="n">
        <v>225</v>
      </c>
      <c r="Z138" s="21" t="n">
        <v>225</v>
      </c>
      <c r="AA138" s="21" t="n">
        <v>225</v>
      </c>
    </row>
    <row r="139" customFormat="false" ht="109.5" hidden="false" customHeight="true" outlineLevel="0" collapsed="false">
      <c r="A139" s="10"/>
      <c r="B139" s="11" t="s">
        <v>134</v>
      </c>
      <c r="C139" s="11" t="s">
        <v>580</v>
      </c>
      <c r="D139" s="12"/>
      <c r="E139" s="10"/>
      <c r="F139" s="10" t="n">
        <v>55</v>
      </c>
      <c r="G139" s="21" t="s">
        <v>536</v>
      </c>
      <c r="H139" s="13" t="s">
        <v>543</v>
      </c>
      <c r="I139" s="14" t="s">
        <v>29</v>
      </c>
      <c r="J139" s="14" t="s">
        <v>95</v>
      </c>
      <c r="K139" s="12" t="s">
        <v>581</v>
      </c>
      <c r="L139" s="15" t="s">
        <v>52</v>
      </c>
      <c r="M139" s="20" t="n">
        <v>3000</v>
      </c>
      <c r="N139" s="17" t="s">
        <v>29</v>
      </c>
      <c r="O139" s="17" t="str">
        <f aca="false">J139</f>
        <v>회의비</v>
      </c>
      <c r="P139" s="12" t="s">
        <v>581</v>
      </c>
      <c r="Q139" s="15" t="s">
        <v>582</v>
      </c>
      <c r="R139" s="19" t="n">
        <v>1000</v>
      </c>
      <c r="S139" s="10" t="n">
        <f aca="false">R139-M139</f>
        <v>-2000</v>
      </c>
      <c r="T139" s="10"/>
      <c r="U139" s="19" t="n">
        <v>1000</v>
      </c>
      <c r="V139" s="12"/>
      <c r="W139" s="20" t="s">
        <v>55</v>
      </c>
      <c r="X139" s="10"/>
      <c r="Y139" s="10"/>
      <c r="Z139" s="10"/>
      <c r="AA139" s="21" t="n">
        <f aca="false">R139</f>
        <v>1000</v>
      </c>
    </row>
    <row r="140" customFormat="false" ht="109.5" hidden="false" customHeight="true" outlineLevel="0" collapsed="false">
      <c r="A140" s="10"/>
      <c r="B140" s="11" t="s">
        <v>134</v>
      </c>
      <c r="C140" s="11" t="s">
        <v>580</v>
      </c>
      <c r="D140" s="12"/>
      <c r="E140" s="10"/>
      <c r="F140" s="10" t="n">
        <v>56</v>
      </c>
      <c r="G140" s="21" t="s">
        <v>536</v>
      </c>
      <c r="H140" s="13" t="s">
        <v>543</v>
      </c>
      <c r="I140" s="14" t="s">
        <v>29</v>
      </c>
      <c r="J140" s="14" t="s">
        <v>95</v>
      </c>
      <c r="K140" s="12" t="s">
        <v>583</v>
      </c>
      <c r="L140" s="15" t="s">
        <v>584</v>
      </c>
      <c r="M140" s="20" t="n">
        <v>3000</v>
      </c>
      <c r="N140" s="17" t="s">
        <v>29</v>
      </c>
      <c r="O140" s="17" t="str">
        <f aca="false">J140</f>
        <v>회의비</v>
      </c>
      <c r="P140" s="12" t="s">
        <v>583</v>
      </c>
      <c r="Q140" s="15" t="s">
        <v>585</v>
      </c>
      <c r="R140" s="19" t="n">
        <v>1000</v>
      </c>
      <c r="S140" s="10" t="n">
        <f aca="false">R140-M140</f>
        <v>-2000</v>
      </c>
      <c r="T140" s="10"/>
      <c r="U140" s="19" t="n">
        <v>1000</v>
      </c>
      <c r="V140" s="12"/>
      <c r="W140" s="20" t="s">
        <v>55</v>
      </c>
      <c r="X140" s="10"/>
      <c r="Y140" s="10"/>
      <c r="Z140" s="10"/>
      <c r="AA140" s="21" t="n">
        <f aca="false">R140</f>
        <v>1000</v>
      </c>
    </row>
    <row r="141" customFormat="false" ht="96" hidden="false" customHeight="true" outlineLevel="0" collapsed="false">
      <c r="A141" s="10"/>
      <c r="B141" s="11" t="s">
        <v>72</v>
      </c>
      <c r="C141" s="11" t="s">
        <v>534</v>
      </c>
      <c r="D141" s="12" t="s">
        <v>535</v>
      </c>
      <c r="E141" s="10"/>
      <c r="F141" s="10" t="n">
        <v>73</v>
      </c>
      <c r="G141" s="10" t="s">
        <v>536</v>
      </c>
      <c r="H141" s="12"/>
      <c r="I141" s="10"/>
      <c r="J141" s="10"/>
      <c r="K141" s="12"/>
      <c r="L141" s="12"/>
      <c r="M141" s="10"/>
      <c r="N141" s="10"/>
      <c r="O141" s="10"/>
      <c r="P141" s="23" t="s">
        <v>586</v>
      </c>
      <c r="Q141" s="12"/>
      <c r="R141" s="10"/>
      <c r="S141" s="10" t="n">
        <f aca="false">R141-M141</f>
        <v>0</v>
      </c>
      <c r="T141" s="10"/>
      <c r="U141" s="10"/>
      <c r="V141" s="12"/>
      <c r="W141" s="10"/>
      <c r="X141" s="10"/>
      <c r="Y141" s="10"/>
      <c r="Z141" s="10"/>
      <c r="AA141" s="10"/>
    </row>
    <row r="142" customFormat="false" ht="123" hidden="false" customHeight="true" outlineLevel="0" collapsed="false">
      <c r="A142" s="10"/>
      <c r="B142" s="11" t="s">
        <v>72</v>
      </c>
      <c r="C142" s="11" t="s">
        <v>587</v>
      </c>
      <c r="D142" s="12" t="s">
        <v>327</v>
      </c>
      <c r="E142" s="10"/>
      <c r="F142" s="10" t="n">
        <v>74</v>
      </c>
      <c r="G142" s="10" t="s">
        <v>536</v>
      </c>
      <c r="H142" s="12"/>
      <c r="I142" s="10"/>
      <c r="J142" s="10"/>
      <c r="K142" s="12"/>
      <c r="L142" s="12"/>
      <c r="M142" s="10"/>
      <c r="N142" s="10"/>
      <c r="O142" s="10"/>
      <c r="P142" s="23" t="s">
        <v>588</v>
      </c>
      <c r="Q142" s="12"/>
      <c r="R142" s="10"/>
      <c r="S142" s="10" t="n">
        <f aca="false">R142-M142</f>
        <v>0</v>
      </c>
      <c r="T142" s="10"/>
      <c r="U142" s="10"/>
      <c r="V142" s="12"/>
      <c r="W142" s="10"/>
      <c r="X142" s="10"/>
      <c r="Y142" s="10"/>
      <c r="Z142" s="10"/>
      <c r="AA142" s="10"/>
    </row>
    <row r="143" customFormat="false" ht="68.25" hidden="false" customHeight="true" outlineLevel="0" collapsed="false">
      <c r="A143" s="10"/>
      <c r="B143" s="11" t="s">
        <v>72</v>
      </c>
      <c r="C143" s="11" t="s">
        <v>147</v>
      </c>
      <c r="D143" s="12"/>
      <c r="E143" s="10"/>
      <c r="F143" s="10" t="n">
        <v>165</v>
      </c>
      <c r="G143" s="10" t="s">
        <v>589</v>
      </c>
      <c r="H143" s="12"/>
      <c r="I143" s="10"/>
      <c r="J143" s="10"/>
      <c r="K143" s="12"/>
      <c r="L143" s="12"/>
      <c r="M143" s="10"/>
      <c r="N143" s="10"/>
      <c r="O143" s="10"/>
      <c r="P143" s="23" t="s">
        <v>590</v>
      </c>
      <c r="Q143" s="12"/>
      <c r="R143" s="10"/>
      <c r="S143" s="10" t="n">
        <f aca="false">R143-M143</f>
        <v>0</v>
      </c>
      <c r="T143" s="10"/>
      <c r="U143" s="10"/>
      <c r="V143" s="12"/>
      <c r="W143" s="10"/>
      <c r="X143" s="10"/>
      <c r="Y143" s="10"/>
      <c r="Z143" s="10"/>
      <c r="AA143" s="10"/>
    </row>
    <row r="144" customFormat="false" ht="123" hidden="false" customHeight="true" outlineLevel="0" collapsed="false">
      <c r="A144" s="10"/>
      <c r="B144" s="11" t="s">
        <v>72</v>
      </c>
      <c r="C144" s="11" t="s">
        <v>591</v>
      </c>
      <c r="D144" s="12" t="s">
        <v>592</v>
      </c>
      <c r="E144" s="10"/>
      <c r="F144" s="10" t="n">
        <v>5</v>
      </c>
      <c r="G144" s="20" t="s">
        <v>593</v>
      </c>
      <c r="H144" s="13" t="s">
        <v>594</v>
      </c>
      <c r="I144" s="14" t="s">
        <v>33</v>
      </c>
      <c r="J144" s="14" t="s">
        <v>595</v>
      </c>
      <c r="K144" s="15" t="s">
        <v>596</v>
      </c>
      <c r="L144" s="24" t="s">
        <v>597</v>
      </c>
      <c r="M144" s="21" t="n">
        <v>98000</v>
      </c>
      <c r="N144" s="17" t="s">
        <v>33</v>
      </c>
      <c r="O144" s="17" t="s">
        <v>595</v>
      </c>
      <c r="P144" s="18" t="s">
        <v>596</v>
      </c>
      <c r="Q144" s="18" t="s">
        <v>598</v>
      </c>
      <c r="R144" s="19" t="n">
        <v>153000</v>
      </c>
      <c r="S144" s="10" t="n">
        <f aca="false">R144-M144</f>
        <v>55000</v>
      </c>
      <c r="T144" s="10"/>
      <c r="U144" s="19" t="n">
        <v>1300000</v>
      </c>
      <c r="V144" s="22" t="s">
        <v>599</v>
      </c>
      <c r="W144" s="20" t="s">
        <v>55</v>
      </c>
      <c r="X144" s="10"/>
      <c r="Y144" s="10"/>
      <c r="Z144" s="17" t="n">
        <v>153000</v>
      </c>
      <c r="AA144" s="10"/>
    </row>
    <row r="145" customFormat="false" ht="123" hidden="false" customHeight="true" outlineLevel="0" collapsed="false">
      <c r="A145" s="10"/>
      <c r="B145" s="11" t="s">
        <v>72</v>
      </c>
      <c r="C145" s="11" t="s">
        <v>600</v>
      </c>
      <c r="D145" s="12" t="s">
        <v>601</v>
      </c>
      <c r="E145" s="10"/>
      <c r="F145" s="10" t="n">
        <v>6</v>
      </c>
      <c r="G145" s="20" t="s">
        <v>593</v>
      </c>
      <c r="H145" s="13" t="s">
        <v>594</v>
      </c>
      <c r="I145" s="14" t="s">
        <v>33</v>
      </c>
      <c r="J145" s="14" t="s">
        <v>595</v>
      </c>
      <c r="K145" s="15" t="s">
        <v>602</v>
      </c>
      <c r="L145" s="24" t="s">
        <v>603</v>
      </c>
      <c r="M145" s="21" t="n">
        <v>9000</v>
      </c>
      <c r="N145" s="17" t="s">
        <v>33</v>
      </c>
      <c r="O145" s="17" t="s">
        <v>595</v>
      </c>
      <c r="P145" s="18" t="s">
        <v>602</v>
      </c>
      <c r="Q145" s="18" t="s">
        <v>604</v>
      </c>
      <c r="R145" s="19" t="n">
        <v>46500</v>
      </c>
      <c r="S145" s="10" t="n">
        <f aca="false">R145-M145</f>
        <v>37500</v>
      </c>
      <c r="T145" s="10"/>
      <c r="U145" s="10"/>
      <c r="V145" s="22" t="s">
        <v>605</v>
      </c>
      <c r="W145" s="20" t="s">
        <v>55</v>
      </c>
      <c r="X145" s="10"/>
      <c r="Y145" s="17" t="n">
        <v>23250</v>
      </c>
      <c r="Z145" s="10"/>
      <c r="AA145" s="17" t="n">
        <v>23250</v>
      </c>
    </row>
    <row r="146" customFormat="false" ht="123" hidden="false" customHeight="true" outlineLevel="0" collapsed="false">
      <c r="A146" s="10"/>
      <c r="B146" s="11" t="s">
        <v>72</v>
      </c>
      <c r="C146" s="11" t="s">
        <v>600</v>
      </c>
      <c r="D146" s="12" t="s">
        <v>601</v>
      </c>
      <c r="E146" s="10"/>
      <c r="F146" s="10" t="n">
        <v>10</v>
      </c>
      <c r="G146" s="20" t="s">
        <v>593</v>
      </c>
      <c r="H146" s="13" t="s">
        <v>594</v>
      </c>
      <c r="I146" s="14" t="s">
        <v>33</v>
      </c>
      <c r="J146" s="14" t="s">
        <v>595</v>
      </c>
      <c r="K146" s="15" t="s">
        <v>606</v>
      </c>
      <c r="L146" s="24" t="s">
        <v>607</v>
      </c>
      <c r="M146" s="21" t="n">
        <v>24000</v>
      </c>
      <c r="N146" s="17" t="s">
        <v>33</v>
      </c>
      <c r="O146" s="17" t="s">
        <v>595</v>
      </c>
      <c r="P146" s="18" t="s">
        <v>606</v>
      </c>
      <c r="Q146" s="18" t="s">
        <v>608</v>
      </c>
      <c r="R146" s="19" t="n">
        <v>45000</v>
      </c>
      <c r="S146" s="10" t="n">
        <f aca="false">R146-M146</f>
        <v>21000</v>
      </c>
      <c r="T146" s="10"/>
      <c r="U146" s="10"/>
      <c r="V146" s="22" t="s">
        <v>609</v>
      </c>
      <c r="W146" s="20" t="s">
        <v>55</v>
      </c>
      <c r="X146" s="10"/>
      <c r="Y146" s="17" t="n">
        <v>22500</v>
      </c>
      <c r="Z146" s="10"/>
      <c r="AA146" s="17" t="n">
        <v>22500</v>
      </c>
    </row>
    <row r="147" customFormat="false" ht="123" hidden="false" customHeight="true" outlineLevel="0" collapsed="false">
      <c r="A147" s="10"/>
      <c r="B147" s="11" t="s">
        <v>72</v>
      </c>
      <c r="C147" s="11" t="s">
        <v>610</v>
      </c>
      <c r="D147" s="12" t="s">
        <v>601</v>
      </c>
      <c r="E147" s="10"/>
      <c r="F147" s="10" t="n">
        <v>17</v>
      </c>
      <c r="G147" s="20" t="s">
        <v>593</v>
      </c>
      <c r="H147" s="13" t="s">
        <v>594</v>
      </c>
      <c r="I147" s="14" t="s">
        <v>33</v>
      </c>
      <c r="J147" s="14" t="s">
        <v>595</v>
      </c>
      <c r="K147" s="15" t="s">
        <v>611</v>
      </c>
      <c r="L147" s="24" t="s">
        <v>612</v>
      </c>
      <c r="M147" s="21" t="n">
        <v>69300</v>
      </c>
      <c r="N147" s="17" t="s">
        <v>33</v>
      </c>
      <c r="O147" s="17" t="s">
        <v>595</v>
      </c>
      <c r="P147" s="18" t="s">
        <v>611</v>
      </c>
      <c r="Q147" s="18" t="s">
        <v>613</v>
      </c>
      <c r="R147" s="19" t="n">
        <v>84000</v>
      </c>
      <c r="S147" s="10" t="n">
        <f aca="false">R147-M147</f>
        <v>14700</v>
      </c>
      <c r="T147" s="10"/>
      <c r="U147" s="10"/>
      <c r="V147" s="22" t="s">
        <v>614</v>
      </c>
      <c r="W147" s="20" t="s">
        <v>36</v>
      </c>
      <c r="X147" s="10"/>
      <c r="Y147" s="10"/>
      <c r="Z147" s="17" t="n">
        <v>84000</v>
      </c>
      <c r="AA147" s="10"/>
    </row>
    <row r="148" customFormat="false" ht="123" hidden="false" customHeight="true" outlineLevel="0" collapsed="false">
      <c r="A148" s="10"/>
      <c r="B148" s="11" t="s">
        <v>72</v>
      </c>
      <c r="C148" s="11" t="s">
        <v>615</v>
      </c>
      <c r="D148" s="12" t="s">
        <v>26</v>
      </c>
      <c r="E148" s="10"/>
      <c r="F148" s="10" t="n">
        <v>18</v>
      </c>
      <c r="G148" s="20" t="s">
        <v>593</v>
      </c>
      <c r="H148" s="13" t="s">
        <v>594</v>
      </c>
      <c r="I148" s="14" t="s">
        <v>33</v>
      </c>
      <c r="J148" s="14" t="s">
        <v>595</v>
      </c>
      <c r="K148" s="15" t="s">
        <v>616</v>
      </c>
      <c r="L148" s="24" t="s">
        <v>617</v>
      </c>
      <c r="M148" s="21" t="n">
        <v>25000</v>
      </c>
      <c r="N148" s="17" t="s">
        <v>33</v>
      </c>
      <c r="O148" s="17" t="s">
        <v>595</v>
      </c>
      <c r="P148" s="18" t="s">
        <v>616</v>
      </c>
      <c r="Q148" s="18" t="s">
        <v>618</v>
      </c>
      <c r="R148" s="19" t="n">
        <v>38500</v>
      </c>
      <c r="S148" s="10" t="n">
        <f aca="false">R148-M148</f>
        <v>13500</v>
      </c>
      <c r="T148" s="10"/>
      <c r="U148" s="10"/>
      <c r="V148" s="22" t="s">
        <v>619</v>
      </c>
      <c r="W148" s="20" t="s">
        <v>55</v>
      </c>
      <c r="X148" s="17" t="n">
        <v>8000</v>
      </c>
      <c r="Y148" s="17" t="n">
        <v>8000</v>
      </c>
      <c r="Z148" s="17" t="n">
        <v>8000</v>
      </c>
      <c r="AA148" s="17" t="n">
        <v>14500</v>
      </c>
    </row>
    <row r="149" customFormat="false" ht="123" hidden="false" customHeight="true" outlineLevel="0" collapsed="false">
      <c r="A149" s="10"/>
      <c r="B149" s="11" t="s">
        <v>24</v>
      </c>
      <c r="C149" s="11" t="s">
        <v>620</v>
      </c>
      <c r="D149" s="12" t="s">
        <v>592</v>
      </c>
      <c r="E149" s="10"/>
      <c r="F149" s="10" t="n">
        <v>22</v>
      </c>
      <c r="G149" s="20" t="s">
        <v>593</v>
      </c>
      <c r="H149" s="13" t="s">
        <v>594</v>
      </c>
      <c r="I149" s="14" t="s">
        <v>33</v>
      </c>
      <c r="J149" s="14" t="s">
        <v>595</v>
      </c>
      <c r="K149" s="15" t="s">
        <v>621</v>
      </c>
      <c r="L149" s="24" t="s">
        <v>622</v>
      </c>
      <c r="M149" s="21" t="n">
        <v>40000</v>
      </c>
      <c r="N149" s="17" t="s">
        <v>33</v>
      </c>
      <c r="O149" s="17" t="s">
        <v>595</v>
      </c>
      <c r="P149" s="18" t="s">
        <v>621</v>
      </c>
      <c r="Q149" s="18" t="s">
        <v>623</v>
      </c>
      <c r="R149" s="19" t="n">
        <v>50000</v>
      </c>
      <c r="S149" s="10" t="n">
        <f aca="false">R149-M149</f>
        <v>10000</v>
      </c>
      <c r="T149" s="10"/>
      <c r="U149" s="10"/>
      <c r="V149" s="22" t="s">
        <v>624</v>
      </c>
      <c r="W149" s="20" t="s">
        <v>45</v>
      </c>
      <c r="X149" s="10"/>
      <c r="Y149" s="17" t="n">
        <v>50000</v>
      </c>
      <c r="Z149" s="10"/>
      <c r="AA149" s="10"/>
    </row>
    <row r="150" customFormat="false" ht="164.25" hidden="false" customHeight="true" outlineLevel="0" collapsed="false">
      <c r="A150" s="10"/>
      <c r="B150" s="11" t="s">
        <v>24</v>
      </c>
      <c r="C150" s="10" t="s">
        <v>625</v>
      </c>
      <c r="D150" s="12" t="s">
        <v>26</v>
      </c>
      <c r="E150" s="10"/>
      <c r="F150" s="10" t="n">
        <v>37</v>
      </c>
      <c r="G150" s="20" t="s">
        <v>593</v>
      </c>
      <c r="H150" s="13" t="s">
        <v>594</v>
      </c>
      <c r="I150" s="14" t="s">
        <v>33</v>
      </c>
      <c r="J150" s="17" t="s">
        <v>595</v>
      </c>
      <c r="K150" s="15" t="s">
        <v>626</v>
      </c>
      <c r="L150" s="12"/>
      <c r="M150" s="10"/>
      <c r="N150" s="17" t="s">
        <v>33</v>
      </c>
      <c r="O150" s="17" t="s">
        <v>595</v>
      </c>
      <c r="P150" s="18" t="s">
        <v>627</v>
      </c>
      <c r="Q150" s="18" t="s">
        <v>628</v>
      </c>
      <c r="R150" s="19" t="n">
        <v>4800</v>
      </c>
      <c r="S150" s="10" t="n">
        <f aca="false">R150-M150</f>
        <v>4800</v>
      </c>
      <c r="T150" s="10"/>
      <c r="U150" s="10"/>
      <c r="V150" s="22" t="s">
        <v>629</v>
      </c>
      <c r="W150" s="20" t="s">
        <v>36</v>
      </c>
      <c r="X150" s="10"/>
      <c r="Y150" s="10"/>
      <c r="Z150" s="17" t="n">
        <v>4800</v>
      </c>
      <c r="AA150" s="10"/>
    </row>
    <row r="151" customFormat="false" ht="164.25" hidden="false" customHeight="true" outlineLevel="0" collapsed="false">
      <c r="A151" s="10"/>
      <c r="B151" s="11" t="s">
        <v>24</v>
      </c>
      <c r="C151" s="10" t="s">
        <v>625</v>
      </c>
      <c r="D151" s="12" t="s">
        <v>26</v>
      </c>
      <c r="E151" s="10"/>
      <c r="F151" s="10" t="n">
        <v>51</v>
      </c>
      <c r="G151" s="20" t="s">
        <v>593</v>
      </c>
      <c r="H151" s="13" t="s">
        <v>594</v>
      </c>
      <c r="I151" s="14" t="s">
        <v>33</v>
      </c>
      <c r="J151" s="17" t="s">
        <v>595</v>
      </c>
      <c r="K151" s="15" t="s">
        <v>626</v>
      </c>
      <c r="L151" s="12"/>
      <c r="M151" s="10"/>
      <c r="N151" s="17" t="s">
        <v>33</v>
      </c>
      <c r="O151" s="17" t="s">
        <v>595</v>
      </c>
      <c r="P151" s="18" t="s">
        <v>630</v>
      </c>
      <c r="Q151" s="18" t="s">
        <v>631</v>
      </c>
      <c r="R151" s="19" t="n">
        <v>2250</v>
      </c>
      <c r="S151" s="10" t="n">
        <f aca="false">R151-M151</f>
        <v>2250</v>
      </c>
      <c r="T151" s="10"/>
      <c r="U151" s="10"/>
      <c r="V151" s="22" t="s">
        <v>629</v>
      </c>
      <c r="W151" s="20" t="s">
        <v>632</v>
      </c>
      <c r="X151" s="10"/>
      <c r="Y151" s="10"/>
      <c r="Z151" s="17" t="n">
        <v>2250</v>
      </c>
      <c r="AA151" s="10"/>
    </row>
    <row r="152" customFormat="false" ht="125.25" hidden="false" customHeight="true" outlineLevel="0" collapsed="false">
      <c r="A152" s="10"/>
      <c r="B152" s="11" t="s">
        <v>24</v>
      </c>
      <c r="C152" s="11" t="s">
        <v>633</v>
      </c>
      <c r="D152" s="12" t="s">
        <v>601</v>
      </c>
      <c r="E152" s="10"/>
      <c r="F152" s="10" t="n">
        <v>57</v>
      </c>
      <c r="G152" s="20" t="s">
        <v>593</v>
      </c>
      <c r="H152" s="13" t="s">
        <v>594</v>
      </c>
      <c r="I152" s="14" t="s">
        <v>33</v>
      </c>
      <c r="J152" s="14" t="s">
        <v>634</v>
      </c>
      <c r="K152" s="15" t="s">
        <v>635</v>
      </c>
      <c r="L152" s="24" t="s">
        <v>636</v>
      </c>
      <c r="M152" s="21" t="n">
        <v>3200</v>
      </c>
      <c r="N152" s="17" t="s">
        <v>33</v>
      </c>
      <c r="O152" s="17" t="s">
        <v>634</v>
      </c>
      <c r="P152" s="18" t="s">
        <v>637</v>
      </c>
      <c r="Q152" s="18" t="s">
        <v>638</v>
      </c>
      <c r="R152" s="19" t="n">
        <v>4800</v>
      </c>
      <c r="S152" s="10" t="n">
        <f aca="false">R152-M152</f>
        <v>1600</v>
      </c>
      <c r="T152" s="10"/>
      <c r="U152" s="10"/>
      <c r="V152" s="22" t="s">
        <v>639</v>
      </c>
      <c r="W152" s="20" t="s">
        <v>55</v>
      </c>
      <c r="X152" s="10"/>
      <c r="Y152" s="10"/>
      <c r="Z152" s="17" t="n">
        <v>4800</v>
      </c>
      <c r="AA152" s="10"/>
    </row>
    <row r="153" customFormat="false" ht="126.75" hidden="false" customHeight="true" outlineLevel="0" collapsed="false">
      <c r="A153" s="10"/>
      <c r="B153" s="11" t="s">
        <v>24</v>
      </c>
      <c r="C153" s="11" t="s">
        <v>640</v>
      </c>
      <c r="D153" s="12" t="s">
        <v>641</v>
      </c>
      <c r="E153" s="10"/>
      <c r="F153" s="10" t="n">
        <v>134</v>
      </c>
      <c r="G153" s="20" t="s">
        <v>593</v>
      </c>
      <c r="H153" s="13" t="s">
        <v>642</v>
      </c>
      <c r="I153" s="14" t="s">
        <v>33</v>
      </c>
      <c r="J153" s="14" t="s">
        <v>95</v>
      </c>
      <c r="K153" s="15" t="s">
        <v>643</v>
      </c>
      <c r="L153" s="24" t="s">
        <v>644</v>
      </c>
      <c r="M153" s="20" t="n">
        <v>1800</v>
      </c>
      <c r="N153" s="17" t="s">
        <v>33</v>
      </c>
      <c r="O153" s="17" t="s">
        <v>645</v>
      </c>
      <c r="P153" s="18" t="s">
        <v>643</v>
      </c>
      <c r="Q153" s="18" t="s">
        <v>646</v>
      </c>
      <c r="R153" s="19" t="n">
        <v>3000</v>
      </c>
      <c r="S153" s="10" t="n">
        <f aca="false">R153-M153</f>
        <v>1200</v>
      </c>
      <c r="T153" s="10"/>
      <c r="U153" s="19" t="n">
        <f aca="false">R153</f>
        <v>3000</v>
      </c>
      <c r="V153" s="22" t="s">
        <v>647</v>
      </c>
      <c r="W153" s="20" t="s">
        <v>55</v>
      </c>
      <c r="X153" s="10"/>
      <c r="Y153" s="17" t="n">
        <v>1200</v>
      </c>
      <c r="Z153" s="10"/>
      <c r="AA153" s="17" t="n">
        <v>1800</v>
      </c>
    </row>
    <row r="154" customFormat="false" ht="123" hidden="false" customHeight="true" outlineLevel="0" collapsed="false">
      <c r="A154" s="10"/>
      <c r="B154" s="11" t="s">
        <v>24</v>
      </c>
      <c r="C154" s="11" t="s">
        <v>648</v>
      </c>
      <c r="D154" s="12" t="s">
        <v>122</v>
      </c>
      <c r="E154" s="10"/>
      <c r="F154" s="10" t="n">
        <v>212</v>
      </c>
      <c r="G154" s="20" t="s">
        <v>593</v>
      </c>
      <c r="H154" s="13" t="s">
        <v>594</v>
      </c>
      <c r="I154" s="14" t="s">
        <v>33</v>
      </c>
      <c r="J154" s="14" t="s">
        <v>595</v>
      </c>
      <c r="K154" s="30" t="s">
        <v>649</v>
      </c>
      <c r="L154" s="16" t="s">
        <v>650</v>
      </c>
      <c r="M154" s="21" t="n">
        <v>30000</v>
      </c>
      <c r="N154" s="17" t="s">
        <v>33</v>
      </c>
      <c r="O154" s="17" t="s">
        <v>595</v>
      </c>
      <c r="P154" s="18" t="s">
        <v>651</v>
      </c>
      <c r="Q154" s="18" t="s">
        <v>652</v>
      </c>
      <c r="R154" s="19" t="n">
        <v>30000</v>
      </c>
      <c r="S154" s="10" t="n">
        <f aca="false">R154-M154</f>
        <v>0</v>
      </c>
      <c r="T154" s="10"/>
      <c r="U154" s="10"/>
      <c r="V154" s="12"/>
      <c r="W154" s="20" t="s">
        <v>55</v>
      </c>
      <c r="X154" s="10"/>
      <c r="Y154" s="10"/>
      <c r="Z154" s="10"/>
      <c r="AA154" s="17" t="n">
        <v>30000</v>
      </c>
    </row>
    <row r="155" customFormat="false" ht="41.25" hidden="false" customHeight="true" outlineLevel="0" collapsed="false">
      <c r="A155" s="10"/>
      <c r="B155" s="11" t="s">
        <v>72</v>
      </c>
      <c r="C155" s="11" t="s">
        <v>653</v>
      </c>
      <c r="D155" s="12"/>
      <c r="E155" s="10"/>
      <c r="F155" s="10" t="n">
        <v>240</v>
      </c>
      <c r="G155" s="10" t="s">
        <v>593</v>
      </c>
      <c r="H155" s="12"/>
      <c r="I155" s="10"/>
      <c r="J155" s="10"/>
      <c r="K155" s="12"/>
      <c r="L155" s="12"/>
      <c r="M155" s="10"/>
      <c r="N155" s="10"/>
      <c r="O155" s="10"/>
      <c r="P155" s="23" t="s">
        <v>654</v>
      </c>
      <c r="Q155" s="12"/>
      <c r="R155" s="10"/>
      <c r="S155" s="10" t="n">
        <f aca="false">R155-M155</f>
        <v>0</v>
      </c>
      <c r="T155" s="10"/>
      <c r="U155" s="10"/>
      <c r="V155" s="12"/>
      <c r="W155" s="10"/>
      <c r="X155" s="10"/>
      <c r="Y155" s="10"/>
      <c r="Z155" s="10"/>
      <c r="AA155" s="10"/>
    </row>
    <row r="156" customFormat="false" ht="110.25" hidden="false" customHeight="true" outlineLevel="0" collapsed="false">
      <c r="A156" s="10"/>
      <c r="B156" s="11" t="s">
        <v>134</v>
      </c>
      <c r="C156" s="11" t="s">
        <v>655</v>
      </c>
      <c r="D156" s="12"/>
      <c r="E156" s="10"/>
      <c r="F156" s="10" t="n">
        <v>3</v>
      </c>
      <c r="G156" s="10" t="s">
        <v>656</v>
      </c>
      <c r="H156" s="12" t="s">
        <v>657</v>
      </c>
      <c r="I156" s="14" t="s">
        <v>29</v>
      </c>
      <c r="J156" s="14" t="s">
        <v>60</v>
      </c>
      <c r="K156" s="15" t="s">
        <v>658</v>
      </c>
      <c r="L156" s="24" t="s">
        <v>659</v>
      </c>
      <c r="M156" s="20" t="n">
        <f aca="false">5*100</f>
        <v>500</v>
      </c>
      <c r="N156" s="17" t="s">
        <v>29</v>
      </c>
      <c r="O156" s="17" t="s">
        <v>60</v>
      </c>
      <c r="P156" s="24" t="s">
        <v>658</v>
      </c>
      <c r="Q156" s="24" t="s">
        <v>660</v>
      </c>
      <c r="R156" s="19" t="n">
        <v>5000</v>
      </c>
      <c r="S156" s="10" t="n">
        <f aca="false">R156-M156</f>
        <v>4500</v>
      </c>
      <c r="T156" s="10"/>
      <c r="U156" s="19" t="n">
        <v>5000</v>
      </c>
      <c r="V156" s="12"/>
      <c r="W156" s="20" t="s">
        <v>55</v>
      </c>
      <c r="X156" s="21" t="n">
        <v>2500</v>
      </c>
      <c r="Y156" s="10"/>
      <c r="Z156" s="21" t="n">
        <v>2500</v>
      </c>
      <c r="AA156" s="10"/>
    </row>
    <row r="157" customFormat="false" ht="96.75" hidden="false" customHeight="true" outlineLevel="0" collapsed="false">
      <c r="A157" s="10"/>
      <c r="B157" s="11" t="s">
        <v>134</v>
      </c>
      <c r="C157" s="11" t="s">
        <v>661</v>
      </c>
      <c r="D157" s="12"/>
      <c r="E157" s="10"/>
      <c r="F157" s="10" t="n">
        <v>5</v>
      </c>
      <c r="G157" s="10" t="s">
        <v>656</v>
      </c>
      <c r="H157" s="12" t="s">
        <v>662</v>
      </c>
      <c r="I157" s="14" t="s">
        <v>29</v>
      </c>
      <c r="J157" s="14" t="s">
        <v>645</v>
      </c>
      <c r="K157" s="12"/>
      <c r="L157" s="12"/>
      <c r="M157" s="10"/>
      <c r="N157" s="14" t="s">
        <v>29</v>
      </c>
      <c r="O157" s="14" t="s">
        <v>645</v>
      </c>
      <c r="P157" s="24" t="s">
        <v>663</v>
      </c>
      <c r="Q157" s="24" t="s">
        <v>664</v>
      </c>
      <c r="R157" s="17" t="n">
        <v>2100</v>
      </c>
      <c r="S157" s="10" t="n">
        <f aca="false">R157-M157</f>
        <v>2100</v>
      </c>
      <c r="T157" s="10"/>
      <c r="U157" s="17" t="n">
        <v>2100</v>
      </c>
      <c r="V157" s="12"/>
      <c r="W157" s="20" t="s">
        <v>55</v>
      </c>
      <c r="X157" s="21" t="n">
        <v>525</v>
      </c>
      <c r="Y157" s="21" t="n">
        <v>525</v>
      </c>
      <c r="Z157" s="21" t="n">
        <v>525</v>
      </c>
      <c r="AA157" s="21" t="n">
        <v>525</v>
      </c>
    </row>
    <row r="158" customFormat="false" ht="85.5" hidden="false" customHeight="true" outlineLevel="0" collapsed="false">
      <c r="A158" s="10"/>
      <c r="B158" s="11" t="s">
        <v>72</v>
      </c>
      <c r="C158" s="11" t="s">
        <v>665</v>
      </c>
      <c r="D158" s="12"/>
      <c r="E158" s="10"/>
      <c r="F158" s="10" t="n">
        <v>28</v>
      </c>
      <c r="G158" s="10" t="s">
        <v>656</v>
      </c>
      <c r="H158" s="12" t="s">
        <v>662</v>
      </c>
      <c r="I158" s="14" t="s">
        <v>29</v>
      </c>
      <c r="J158" s="14" t="s">
        <v>645</v>
      </c>
      <c r="K158" s="15" t="s">
        <v>666</v>
      </c>
      <c r="L158" s="24" t="s">
        <v>667</v>
      </c>
      <c r="M158" s="20" t="n">
        <v>4400</v>
      </c>
      <c r="N158" s="14" t="s">
        <v>29</v>
      </c>
      <c r="O158" s="14" t="s">
        <v>645</v>
      </c>
      <c r="P158" s="24" t="s">
        <v>666</v>
      </c>
      <c r="Q158" s="24" t="s">
        <v>668</v>
      </c>
      <c r="R158" s="17" t="n">
        <v>4400</v>
      </c>
      <c r="S158" s="10" t="n">
        <f aca="false">R158-M158</f>
        <v>0</v>
      </c>
      <c r="T158" s="10"/>
      <c r="U158" s="17" t="n">
        <v>4400</v>
      </c>
      <c r="V158" s="12"/>
      <c r="W158" s="20" t="s">
        <v>55</v>
      </c>
      <c r="X158" s="21" t="n">
        <v>1100</v>
      </c>
      <c r="Y158" s="21" t="n">
        <v>1100</v>
      </c>
      <c r="Z158" s="21" t="n">
        <v>1100</v>
      </c>
      <c r="AA158" s="21" t="n">
        <v>1100</v>
      </c>
    </row>
    <row r="159" customFormat="false" ht="110.25" hidden="false" customHeight="true" outlineLevel="0" collapsed="false">
      <c r="A159" s="10"/>
      <c r="B159" s="11" t="s">
        <v>72</v>
      </c>
      <c r="C159" s="11" t="s">
        <v>669</v>
      </c>
      <c r="D159" s="12"/>
      <c r="E159" s="10"/>
      <c r="F159" s="10" t="n">
        <v>15</v>
      </c>
      <c r="G159" s="10" t="s">
        <v>670</v>
      </c>
      <c r="H159" s="12" t="s">
        <v>671</v>
      </c>
      <c r="I159" s="14" t="s">
        <v>33</v>
      </c>
      <c r="J159" s="14" t="s">
        <v>95</v>
      </c>
      <c r="K159" s="12" t="s">
        <v>672</v>
      </c>
      <c r="L159" s="24" t="s">
        <v>673</v>
      </c>
      <c r="M159" s="20" t="n">
        <v>140</v>
      </c>
      <c r="N159" s="17" t="s">
        <v>33</v>
      </c>
      <c r="O159" s="17" t="s">
        <v>95</v>
      </c>
      <c r="P159" s="15" t="s">
        <v>672</v>
      </c>
      <c r="Q159" s="16" t="s">
        <v>673</v>
      </c>
      <c r="R159" s="19" t="n">
        <v>140</v>
      </c>
      <c r="S159" s="10" t="n">
        <f aca="false">R159-M159</f>
        <v>0</v>
      </c>
      <c r="T159" s="10"/>
      <c r="U159" s="19" t="n">
        <v>140</v>
      </c>
      <c r="V159" s="12"/>
      <c r="W159" s="20" t="s">
        <v>128</v>
      </c>
      <c r="X159" s="10"/>
      <c r="Y159" s="10"/>
      <c r="Z159" s="21" t="n">
        <v>100</v>
      </c>
      <c r="AA159" s="21" t="n">
        <v>40</v>
      </c>
    </row>
    <row r="160" customFormat="false" ht="96.75" hidden="false" customHeight="true" outlineLevel="0" collapsed="false">
      <c r="A160" s="10"/>
      <c r="B160" s="11" t="s">
        <v>72</v>
      </c>
      <c r="C160" s="11" t="s">
        <v>674</v>
      </c>
      <c r="D160" s="12"/>
      <c r="E160" s="10"/>
      <c r="F160" s="10" t="n">
        <v>23</v>
      </c>
      <c r="G160" s="10" t="s">
        <v>670</v>
      </c>
      <c r="H160" s="12" t="s">
        <v>675</v>
      </c>
      <c r="I160" s="14" t="s">
        <v>33</v>
      </c>
      <c r="J160" s="14" t="s">
        <v>95</v>
      </c>
      <c r="K160" s="15" t="s">
        <v>676</v>
      </c>
      <c r="L160" s="16" t="s">
        <v>677</v>
      </c>
      <c r="M160" s="20" t="n">
        <v>120</v>
      </c>
      <c r="N160" s="17" t="s">
        <v>33</v>
      </c>
      <c r="O160" s="17" t="s">
        <v>95</v>
      </c>
      <c r="P160" s="15" t="s">
        <v>676</v>
      </c>
      <c r="Q160" s="16" t="s">
        <v>677</v>
      </c>
      <c r="R160" s="19" t="n">
        <v>120</v>
      </c>
      <c r="S160" s="10" t="n">
        <f aca="false">R160-M160</f>
        <v>0</v>
      </c>
      <c r="T160" s="10"/>
      <c r="U160" s="19" t="n">
        <v>120</v>
      </c>
      <c r="V160" s="12"/>
      <c r="W160" s="20" t="s">
        <v>55</v>
      </c>
      <c r="X160" s="21" t="n">
        <v>30</v>
      </c>
      <c r="Y160" s="21" t="n">
        <v>30</v>
      </c>
      <c r="Z160" s="21" t="n">
        <v>30</v>
      </c>
      <c r="AA160" s="21" t="n">
        <v>30</v>
      </c>
    </row>
    <row r="161" customFormat="false" ht="96.75" hidden="false" customHeight="true" outlineLevel="0" collapsed="false">
      <c r="A161" s="10"/>
      <c r="B161" s="11" t="s">
        <v>72</v>
      </c>
      <c r="C161" s="11" t="s">
        <v>678</v>
      </c>
      <c r="D161" s="12"/>
      <c r="E161" s="10"/>
      <c r="F161" s="10" t="n">
        <v>24</v>
      </c>
      <c r="G161" s="10" t="s">
        <v>670</v>
      </c>
      <c r="H161" s="12" t="s">
        <v>675</v>
      </c>
      <c r="I161" s="14" t="s">
        <v>33</v>
      </c>
      <c r="J161" s="14" t="s">
        <v>95</v>
      </c>
      <c r="K161" s="15" t="s">
        <v>679</v>
      </c>
      <c r="L161" s="16" t="s">
        <v>677</v>
      </c>
      <c r="M161" s="20" t="n">
        <v>120</v>
      </c>
      <c r="N161" s="17" t="s">
        <v>33</v>
      </c>
      <c r="O161" s="17" t="s">
        <v>95</v>
      </c>
      <c r="P161" s="15" t="s">
        <v>679</v>
      </c>
      <c r="Q161" s="16" t="s">
        <v>677</v>
      </c>
      <c r="R161" s="19" t="n">
        <v>120</v>
      </c>
      <c r="S161" s="10" t="n">
        <f aca="false">R161-M161</f>
        <v>0</v>
      </c>
      <c r="T161" s="10"/>
      <c r="U161" s="19" t="n">
        <v>120</v>
      </c>
      <c r="V161" s="12"/>
      <c r="W161" s="20" t="s">
        <v>55</v>
      </c>
      <c r="X161" s="21" t="n">
        <v>30</v>
      </c>
      <c r="Y161" s="21" t="n">
        <v>30</v>
      </c>
      <c r="Z161" s="21" t="n">
        <v>30</v>
      </c>
      <c r="AA161" s="21" t="n">
        <v>30</v>
      </c>
    </row>
    <row r="162" customFormat="false" ht="151.5" hidden="false" customHeight="true" outlineLevel="0" collapsed="false">
      <c r="A162" s="10"/>
      <c r="B162" s="11" t="s">
        <v>72</v>
      </c>
      <c r="C162" s="11" t="s">
        <v>680</v>
      </c>
      <c r="D162" s="12"/>
      <c r="E162" s="10"/>
      <c r="F162" s="10" t="n">
        <v>25</v>
      </c>
      <c r="G162" s="10" t="s">
        <v>670</v>
      </c>
      <c r="H162" s="12" t="s">
        <v>675</v>
      </c>
      <c r="I162" s="14" t="s">
        <v>33</v>
      </c>
      <c r="J162" s="14" t="s">
        <v>95</v>
      </c>
      <c r="K162" s="15" t="s">
        <v>681</v>
      </c>
      <c r="L162" s="16" t="s">
        <v>682</v>
      </c>
      <c r="M162" s="20" t="n">
        <v>1120</v>
      </c>
      <c r="N162" s="14" t="s">
        <v>33</v>
      </c>
      <c r="O162" s="17" t="s">
        <v>95</v>
      </c>
      <c r="P162" s="15" t="s">
        <v>681</v>
      </c>
      <c r="Q162" s="16" t="s">
        <v>682</v>
      </c>
      <c r="R162" s="20" t="n">
        <v>1120</v>
      </c>
      <c r="S162" s="10" t="n">
        <f aca="false">R162-M162</f>
        <v>0</v>
      </c>
      <c r="T162" s="10"/>
      <c r="U162" s="20" t="n">
        <v>1120</v>
      </c>
      <c r="V162" s="12"/>
      <c r="W162" s="20" t="s">
        <v>55</v>
      </c>
      <c r="X162" s="21" t="n">
        <v>280</v>
      </c>
      <c r="Y162" s="21" t="n">
        <v>280</v>
      </c>
      <c r="Z162" s="21" t="n">
        <v>280</v>
      </c>
      <c r="AA162" s="21" t="n">
        <v>280</v>
      </c>
    </row>
    <row r="163" customFormat="false" ht="109.5" hidden="false" customHeight="true" outlineLevel="0" collapsed="false">
      <c r="A163" s="10"/>
      <c r="B163" s="11" t="s">
        <v>134</v>
      </c>
      <c r="C163" s="11" t="s">
        <v>683</v>
      </c>
      <c r="D163" s="12"/>
      <c r="E163" s="10"/>
      <c r="F163" s="10" t="n">
        <v>23</v>
      </c>
      <c r="G163" s="21" t="s">
        <v>684</v>
      </c>
      <c r="H163" s="15" t="s">
        <v>685</v>
      </c>
      <c r="I163" s="14" t="s">
        <v>33</v>
      </c>
      <c r="J163" s="14" t="s">
        <v>95</v>
      </c>
      <c r="K163" s="15" t="s">
        <v>686</v>
      </c>
      <c r="L163" s="15" t="s">
        <v>687</v>
      </c>
      <c r="M163" s="20" t="n">
        <v>5400</v>
      </c>
      <c r="N163" s="14" t="s">
        <v>33</v>
      </c>
      <c r="O163" s="14" t="s">
        <v>95</v>
      </c>
      <c r="P163" s="15" t="s">
        <v>686</v>
      </c>
      <c r="Q163" s="24" t="s">
        <v>688</v>
      </c>
      <c r="R163" s="20" t="n">
        <v>7200</v>
      </c>
      <c r="S163" s="10" t="n">
        <f aca="false">R163-M163</f>
        <v>1800</v>
      </c>
      <c r="T163" s="10"/>
      <c r="U163" s="20" t="n">
        <v>7200</v>
      </c>
      <c r="V163" s="12"/>
      <c r="W163" s="20" t="s">
        <v>55</v>
      </c>
      <c r="X163" s="20" t="n">
        <v>1800</v>
      </c>
      <c r="Y163" s="20" t="n">
        <v>1800</v>
      </c>
      <c r="Z163" s="20" t="n">
        <v>1800</v>
      </c>
      <c r="AA163" s="20" t="n">
        <v>1800</v>
      </c>
    </row>
    <row r="164" customFormat="false" ht="96" hidden="false" customHeight="true" outlineLevel="0" collapsed="false">
      <c r="A164" s="10"/>
      <c r="B164" s="11" t="s">
        <v>134</v>
      </c>
      <c r="C164" s="11" t="s">
        <v>689</v>
      </c>
      <c r="D164" s="12"/>
      <c r="E164" s="10"/>
      <c r="F164" s="10" t="n">
        <v>22</v>
      </c>
      <c r="G164" s="21" t="s">
        <v>690</v>
      </c>
      <c r="H164" s="13" t="s">
        <v>691</v>
      </c>
      <c r="I164" s="14" t="s">
        <v>29</v>
      </c>
      <c r="J164" s="14" t="s">
        <v>95</v>
      </c>
      <c r="K164" s="25" t="s">
        <v>692</v>
      </c>
      <c r="L164" s="16" t="s">
        <v>693</v>
      </c>
      <c r="M164" s="20" t="n">
        <v>785</v>
      </c>
      <c r="N164" s="17" t="s">
        <v>29</v>
      </c>
      <c r="O164" s="17" t="s">
        <v>95</v>
      </c>
      <c r="P164" s="23" t="s">
        <v>692</v>
      </c>
      <c r="Q164" s="16" t="s">
        <v>694</v>
      </c>
      <c r="R164" s="19" t="n">
        <v>900</v>
      </c>
      <c r="S164" s="10" t="n">
        <f aca="false">R164-M164</f>
        <v>115</v>
      </c>
      <c r="T164" s="10"/>
      <c r="U164" s="19" t="n">
        <v>900</v>
      </c>
      <c r="V164" s="12"/>
      <c r="W164" s="20" t="s">
        <v>45</v>
      </c>
      <c r="X164" s="21" t="n">
        <v>450</v>
      </c>
      <c r="Y164" s="21" t="n">
        <v>450</v>
      </c>
      <c r="Z164" s="21" t="n">
        <v>0</v>
      </c>
      <c r="AA164" s="21" t="n">
        <v>0</v>
      </c>
    </row>
    <row r="165" customFormat="false" ht="110.25" hidden="false" customHeight="true" outlineLevel="0" collapsed="false">
      <c r="A165" s="10"/>
      <c r="B165" s="11" t="s">
        <v>134</v>
      </c>
      <c r="C165" s="11" t="s">
        <v>695</v>
      </c>
      <c r="D165" s="12"/>
      <c r="E165" s="10"/>
      <c r="F165" s="10" t="n">
        <v>24</v>
      </c>
      <c r="G165" s="21" t="s">
        <v>690</v>
      </c>
      <c r="H165" s="13" t="s">
        <v>696</v>
      </c>
      <c r="I165" s="14" t="s">
        <v>29</v>
      </c>
      <c r="J165" s="14" t="s">
        <v>95</v>
      </c>
      <c r="K165" s="25" t="s">
        <v>697</v>
      </c>
      <c r="L165" s="16" t="s">
        <v>698</v>
      </c>
      <c r="M165" s="20" t="n">
        <v>360</v>
      </c>
      <c r="N165" s="17" t="s">
        <v>29</v>
      </c>
      <c r="O165" s="17" t="s">
        <v>95</v>
      </c>
      <c r="P165" s="23" t="s">
        <v>697</v>
      </c>
      <c r="Q165" s="18" t="s">
        <v>699</v>
      </c>
      <c r="R165" s="19" t="n">
        <v>150</v>
      </c>
      <c r="S165" s="10" t="n">
        <f aca="false">R165-M165</f>
        <v>-210</v>
      </c>
      <c r="T165" s="10"/>
      <c r="U165" s="19" t="n">
        <v>150</v>
      </c>
      <c r="V165" s="12"/>
      <c r="W165" s="20" t="s">
        <v>55</v>
      </c>
      <c r="X165" s="10"/>
      <c r="Y165" s="10"/>
      <c r="Z165" s="21" t="n">
        <v>75</v>
      </c>
      <c r="AA165" s="21" t="n">
        <v>75</v>
      </c>
    </row>
    <row r="166" customFormat="false" ht="109.5" hidden="false" customHeight="true" outlineLevel="0" collapsed="false">
      <c r="A166" s="10"/>
      <c r="B166" s="11" t="s">
        <v>134</v>
      </c>
      <c r="C166" s="11" t="s">
        <v>700</v>
      </c>
      <c r="D166" s="12"/>
      <c r="E166" s="10"/>
      <c r="F166" s="10" t="n">
        <v>31</v>
      </c>
      <c r="G166" s="10" t="s">
        <v>701</v>
      </c>
      <c r="H166" s="12" t="s">
        <v>702</v>
      </c>
      <c r="I166" s="14" t="s">
        <v>33</v>
      </c>
      <c r="J166" s="14" t="s">
        <v>95</v>
      </c>
      <c r="K166" s="26" t="s">
        <v>703</v>
      </c>
      <c r="L166" s="16" t="s">
        <v>704</v>
      </c>
      <c r="M166" s="20" t="n">
        <v>3000</v>
      </c>
      <c r="N166" s="14" t="s">
        <v>33</v>
      </c>
      <c r="O166" s="14" t="s">
        <v>95</v>
      </c>
      <c r="P166" s="26" t="s">
        <v>703</v>
      </c>
      <c r="Q166" s="16" t="s">
        <v>704</v>
      </c>
      <c r="R166" s="19" t="n">
        <v>3000</v>
      </c>
      <c r="S166" s="10" t="n">
        <f aca="false">R166-M166</f>
        <v>0</v>
      </c>
      <c r="T166" s="10"/>
      <c r="U166" s="19" t="n">
        <v>3000</v>
      </c>
      <c r="V166" s="12"/>
      <c r="W166" s="20" t="s">
        <v>55</v>
      </c>
      <c r="X166" s="20" t="n">
        <v>750</v>
      </c>
      <c r="Y166" s="20" t="n">
        <v>750</v>
      </c>
      <c r="Z166" s="20" t="n">
        <v>750</v>
      </c>
      <c r="AA166" s="20" t="n">
        <v>750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2026-10-27T04:20:38Z</dcterms:created>
  <dc:creator>User</dc:creator>
  <dc:description/>
  <dc:language>en-US</dc:language>
  <cp:lastModifiedBy>User</cp:lastModifiedBy>
  <dcterms:modified xsi:type="dcterms:W3CDTF">2026-10-27T08:06:06Z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